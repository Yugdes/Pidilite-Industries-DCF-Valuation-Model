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gde\Desktop\DCF Project\model\"/>
    </mc:Choice>
  </mc:AlternateContent>
  <xr:revisionPtr revIDLastSave="0" documentId="13_ncr:1_{2F1E54E1-FC29-419F-9B6F-7B24B869282B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CF" sheetId="1" r:id="rId1"/>
    <sheet name="RAW FS" sheetId="2" r:id="rId2"/>
    <sheet name="Data Sheet" sheetId="3" r:id="rId3"/>
    <sheet name="WACC" sheetId="4" r:id="rId4"/>
    <sheet name="Comps" sheetId="5" r:id="rId5"/>
    <sheet name="Intrinsic Growth" sheetId="6" r:id="rId6"/>
    <sheet name="Astral" sheetId="7" r:id="rId7"/>
    <sheet name="Supreme" sheetId="8" r:id="rId8"/>
    <sheet name="Asian" sheetId="9" r:id="rId9"/>
    <sheet name="Berger" sheetId="10" r:id="rId10"/>
    <sheet name="Kansai" sheetId="11" r:id="rId11"/>
    <sheet name="Rm" sheetId="12" r:id="rId12"/>
    <sheet name="Source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5" l="1"/>
  <c r="J15" i="5"/>
  <c r="F9" i="12"/>
  <c r="F11" i="12" s="1"/>
  <c r="F47" i="11"/>
  <c r="D47" i="11"/>
  <c r="F46" i="11"/>
  <c r="D46" i="11"/>
  <c r="F45" i="11"/>
  <c r="D45" i="11"/>
  <c r="F44" i="11"/>
  <c r="D44" i="11"/>
  <c r="F43" i="11"/>
  <c r="D43" i="11"/>
  <c r="F42" i="11"/>
  <c r="D42" i="11"/>
  <c r="F41" i="11"/>
  <c r="D41" i="11"/>
  <c r="F40" i="11"/>
  <c r="D40" i="11"/>
  <c r="F39" i="11"/>
  <c r="D39" i="11"/>
  <c r="F38" i="11"/>
  <c r="D38" i="11"/>
  <c r="F37" i="11"/>
  <c r="D37" i="11"/>
  <c r="F36" i="11"/>
  <c r="D36" i="11"/>
  <c r="F35" i="11"/>
  <c r="D35" i="11"/>
  <c r="F34" i="11"/>
  <c r="D34" i="11"/>
  <c r="F33" i="11"/>
  <c r="D33" i="11"/>
  <c r="F32" i="11"/>
  <c r="D32" i="11"/>
  <c r="F31" i="11"/>
  <c r="D31" i="11"/>
  <c r="F30" i="11"/>
  <c r="D30" i="11"/>
  <c r="F29" i="11"/>
  <c r="D29" i="11"/>
  <c r="F28" i="11"/>
  <c r="D28" i="11"/>
  <c r="F27" i="11"/>
  <c r="D27" i="11"/>
  <c r="F26" i="11"/>
  <c r="D26" i="11"/>
  <c r="F25" i="11"/>
  <c r="D25" i="11"/>
  <c r="J23" i="11"/>
  <c r="C9" i="11" s="1"/>
  <c r="C15" i="11" s="1"/>
  <c r="H11" i="4" s="1"/>
  <c r="C14" i="11"/>
  <c r="F47" i="10"/>
  <c r="D47" i="10"/>
  <c r="F46" i="10"/>
  <c r="D46" i="10"/>
  <c r="F45" i="10"/>
  <c r="D45" i="10"/>
  <c r="F44" i="10"/>
  <c r="D44" i="10"/>
  <c r="F43" i="10"/>
  <c r="D43" i="10"/>
  <c r="F42" i="10"/>
  <c r="D42" i="10"/>
  <c r="F41" i="10"/>
  <c r="D41" i="10"/>
  <c r="F40" i="10"/>
  <c r="D40" i="10"/>
  <c r="F39" i="10"/>
  <c r="D39" i="10"/>
  <c r="F38" i="10"/>
  <c r="D38" i="10"/>
  <c r="F37" i="10"/>
  <c r="D37" i="10"/>
  <c r="F36" i="10"/>
  <c r="D36" i="10"/>
  <c r="F35" i="10"/>
  <c r="D35" i="10"/>
  <c r="F34" i="10"/>
  <c r="D34" i="10"/>
  <c r="F33" i="10"/>
  <c r="D33" i="10"/>
  <c r="F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J23" i="10"/>
  <c r="C9" i="10" s="1"/>
  <c r="C15" i="10" s="1"/>
  <c r="H10" i="4" s="1"/>
  <c r="C14" i="10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J23" i="9"/>
  <c r="C9" i="9" s="1"/>
  <c r="C15" i="9" s="1"/>
  <c r="H9" i="4" s="1"/>
  <c r="I9" i="4" s="1"/>
  <c r="C14" i="9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J23" i="8"/>
  <c r="C9" i="8" s="1"/>
  <c r="C15" i="8" s="1"/>
  <c r="H13" i="4" s="1"/>
  <c r="C14" i="8"/>
  <c r="F47" i="7"/>
  <c r="D47" i="7"/>
  <c r="F46" i="7"/>
  <c r="D46" i="7"/>
  <c r="F45" i="7"/>
  <c r="D45" i="7"/>
  <c r="F44" i="7"/>
  <c r="D44" i="7"/>
  <c r="F43" i="7"/>
  <c r="D43" i="7"/>
  <c r="F42" i="7"/>
  <c r="D42" i="7"/>
  <c r="F41" i="7"/>
  <c r="D41" i="7"/>
  <c r="F40" i="7"/>
  <c r="D40" i="7"/>
  <c r="F39" i="7"/>
  <c r="D39" i="7"/>
  <c r="F38" i="7"/>
  <c r="D38" i="7"/>
  <c r="F37" i="7"/>
  <c r="D37" i="7"/>
  <c r="F36" i="7"/>
  <c r="D36" i="7"/>
  <c r="F35" i="7"/>
  <c r="D35" i="7"/>
  <c r="F34" i="7"/>
  <c r="D34" i="7"/>
  <c r="F33" i="7"/>
  <c r="D33" i="7"/>
  <c r="F32" i="7"/>
  <c r="D32" i="7"/>
  <c r="F31" i="7"/>
  <c r="D31" i="7"/>
  <c r="F30" i="7"/>
  <c r="D30" i="7"/>
  <c r="F29" i="7"/>
  <c r="D29" i="7"/>
  <c r="F28" i="7"/>
  <c r="D28" i="7"/>
  <c r="F27" i="7"/>
  <c r="D27" i="7"/>
  <c r="F26" i="7"/>
  <c r="D26" i="7"/>
  <c r="F25" i="7"/>
  <c r="D25" i="7"/>
  <c r="J23" i="7"/>
  <c r="C9" i="7" s="1"/>
  <c r="C15" i="7" s="1"/>
  <c r="H12" i="4" s="1"/>
  <c r="I12" i="4" s="1"/>
  <c r="C14" i="7"/>
  <c r="P27" i="6"/>
  <c r="J23" i="6"/>
  <c r="I23" i="6"/>
  <c r="H23" i="6"/>
  <c r="G23" i="6"/>
  <c r="F23" i="6"/>
  <c r="J22" i="6"/>
  <c r="I22" i="6"/>
  <c r="H22" i="6"/>
  <c r="H25" i="6" s="1"/>
  <c r="H26" i="6" s="1"/>
  <c r="H28" i="6" s="1"/>
  <c r="G22" i="6"/>
  <c r="F22" i="6"/>
  <c r="F25" i="6" s="1"/>
  <c r="F26" i="6" s="1"/>
  <c r="F28" i="6" s="1"/>
  <c r="H15" i="6"/>
  <c r="H16" i="6" s="1"/>
  <c r="H27" i="6" s="1"/>
  <c r="J14" i="6"/>
  <c r="I14" i="6"/>
  <c r="H14" i="6"/>
  <c r="G14" i="6"/>
  <c r="G15" i="6" s="1"/>
  <c r="G16" i="6" s="1"/>
  <c r="G27" i="6" s="1"/>
  <c r="F14" i="6"/>
  <c r="J13" i="6"/>
  <c r="J15" i="6" s="1"/>
  <c r="J16" i="6" s="1"/>
  <c r="J27" i="6" s="1"/>
  <c r="I13" i="6"/>
  <c r="I15" i="6" s="1"/>
  <c r="I16" i="6" s="1"/>
  <c r="I27" i="6" s="1"/>
  <c r="H13" i="6"/>
  <c r="G13" i="6"/>
  <c r="F13" i="6"/>
  <c r="F15" i="6" s="1"/>
  <c r="F16" i="6" s="1"/>
  <c r="F27" i="6" s="1"/>
  <c r="J12" i="6"/>
  <c r="I12" i="6"/>
  <c r="H12" i="6"/>
  <c r="G12" i="6"/>
  <c r="F12" i="6"/>
  <c r="J11" i="6"/>
  <c r="J10" i="6"/>
  <c r="I10" i="6"/>
  <c r="I11" i="6" s="1"/>
  <c r="I24" i="6" s="1"/>
  <c r="H10" i="6"/>
  <c r="G10" i="6"/>
  <c r="F10" i="6"/>
  <c r="J9" i="6"/>
  <c r="I9" i="6"/>
  <c r="H9" i="6"/>
  <c r="H11" i="6" s="1"/>
  <c r="H24" i="6" s="1"/>
  <c r="G9" i="6"/>
  <c r="G11" i="6" s="1"/>
  <c r="F9" i="6"/>
  <c r="F11" i="6" s="1"/>
  <c r="D27" i="5"/>
  <c r="D26" i="5"/>
  <c r="D25" i="5"/>
  <c r="D24" i="5"/>
  <c r="D23" i="5"/>
  <c r="D21" i="5"/>
  <c r="D13" i="5"/>
  <c r="D12" i="5"/>
  <c r="K11" i="5"/>
  <c r="D11" i="5"/>
  <c r="C11" i="5"/>
  <c r="F11" i="5" s="1"/>
  <c r="J11" i="5" s="1"/>
  <c r="D10" i="5"/>
  <c r="D9" i="5"/>
  <c r="D37" i="4"/>
  <c r="D35" i="4"/>
  <c r="D34" i="4"/>
  <c r="D33" i="4"/>
  <c r="D32" i="4"/>
  <c r="E13" i="4"/>
  <c r="C13" i="5" s="1"/>
  <c r="E12" i="4"/>
  <c r="G12" i="4" s="1"/>
  <c r="E11" i="4"/>
  <c r="G11" i="4" s="1"/>
  <c r="E10" i="4"/>
  <c r="C10" i="5" s="1"/>
  <c r="E9" i="4"/>
  <c r="G9" i="4" s="1"/>
  <c r="G27" i="3"/>
  <c r="G26" i="3"/>
  <c r="F26" i="3"/>
  <c r="F27" i="3" s="1"/>
  <c r="E26" i="3"/>
  <c r="E27" i="3" s="1"/>
  <c r="D26" i="3"/>
  <c r="D27" i="3" s="1"/>
  <c r="C26" i="3"/>
  <c r="C27" i="3" s="1"/>
  <c r="G25" i="3"/>
  <c r="F25" i="3"/>
  <c r="E25" i="3"/>
  <c r="D25" i="3"/>
  <c r="C25" i="3"/>
  <c r="G24" i="3"/>
  <c r="F24" i="3"/>
  <c r="E24" i="3"/>
  <c r="D24" i="3"/>
  <c r="C24" i="3"/>
  <c r="G23" i="3"/>
  <c r="D23" i="3"/>
  <c r="C23" i="3"/>
  <c r="G22" i="3"/>
  <c r="F22" i="3"/>
  <c r="E22" i="3"/>
  <c r="D22" i="3"/>
  <c r="C22" i="3"/>
  <c r="D21" i="3"/>
  <c r="G20" i="3"/>
  <c r="F20" i="3"/>
  <c r="G21" i="3" s="1"/>
  <c r="E20" i="3"/>
  <c r="E21" i="3" s="1"/>
  <c r="D20" i="3"/>
  <c r="C20" i="3"/>
  <c r="C15" i="3"/>
  <c r="C10" i="3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J54" i="1"/>
  <c r="I54" i="1"/>
  <c r="H54" i="1"/>
  <c r="G54" i="1"/>
  <c r="F54" i="1"/>
  <c r="N45" i="1"/>
  <c r="N43" i="1"/>
  <c r="N41" i="1"/>
  <c r="N40" i="1"/>
  <c r="N34" i="1"/>
  <c r="J23" i="1"/>
  <c r="I23" i="1"/>
  <c r="H23" i="1"/>
  <c r="H24" i="1" s="1"/>
  <c r="G23" i="1"/>
  <c r="G24" i="1" s="1"/>
  <c r="F23" i="1"/>
  <c r="J21" i="1"/>
  <c r="I21" i="1"/>
  <c r="H21" i="1"/>
  <c r="G21" i="1"/>
  <c r="F21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X17" i="1"/>
  <c r="W17" i="1"/>
  <c r="W15" i="1"/>
  <c r="J15" i="1"/>
  <c r="I15" i="1"/>
  <c r="H15" i="1"/>
  <c r="G15" i="1"/>
  <c r="F15" i="1"/>
  <c r="W14" i="1"/>
  <c r="T13" i="1"/>
  <c r="S13" i="1"/>
  <c r="R13" i="1"/>
  <c r="Q13" i="1"/>
  <c r="P13" i="1"/>
  <c r="O13" i="1"/>
  <c r="N13" i="1"/>
  <c r="M13" i="1"/>
  <c r="L13" i="1"/>
  <c r="K13" i="1"/>
  <c r="J12" i="1"/>
  <c r="I12" i="1"/>
  <c r="I16" i="1" s="1"/>
  <c r="I19" i="1" s="1"/>
  <c r="H12" i="1"/>
  <c r="X16" i="1" s="1"/>
  <c r="G12" i="1"/>
  <c r="G13" i="1" s="1"/>
  <c r="F12" i="1"/>
  <c r="F13" i="1" s="1"/>
  <c r="T10" i="1"/>
  <c r="S10" i="1"/>
  <c r="R10" i="1"/>
  <c r="Q10" i="1"/>
  <c r="P10" i="1"/>
  <c r="O10" i="1"/>
  <c r="N10" i="1"/>
  <c r="M10" i="1"/>
  <c r="L10" i="1"/>
  <c r="K10" i="1"/>
  <c r="H10" i="1"/>
  <c r="J9" i="1"/>
  <c r="W18" i="1" s="1"/>
  <c r="I9" i="1"/>
  <c r="I10" i="1" s="1"/>
  <c r="H9" i="1"/>
  <c r="W16" i="1" s="1"/>
  <c r="G9" i="1"/>
  <c r="F9" i="1"/>
  <c r="G10" i="1" s="1"/>
  <c r="K9" i="1" l="1"/>
  <c r="K23" i="1" s="1"/>
  <c r="K24" i="1" s="1"/>
  <c r="X15" i="1"/>
  <c r="I13" i="1"/>
  <c r="X14" i="1"/>
  <c r="J16" i="1"/>
  <c r="J19" i="1" s="1"/>
  <c r="I24" i="1"/>
  <c r="J24" i="1"/>
  <c r="J13" i="1"/>
  <c r="X18" i="1"/>
  <c r="I11" i="4"/>
  <c r="I25" i="6"/>
  <c r="I26" i="6" s="1"/>
  <c r="I28" i="6" s="1"/>
  <c r="K13" i="5"/>
  <c r="F13" i="5"/>
  <c r="J13" i="5" s="1"/>
  <c r="G24" i="6"/>
  <c r="G25" i="6" s="1"/>
  <c r="G26" i="6" s="1"/>
  <c r="G28" i="6" s="1"/>
  <c r="J24" i="6"/>
  <c r="J25" i="6" s="1"/>
  <c r="J26" i="6" s="1"/>
  <c r="J28" i="6" s="1"/>
  <c r="F10" i="5"/>
  <c r="J10" i="5" s="1"/>
  <c r="K10" i="5"/>
  <c r="J10" i="1"/>
  <c r="F16" i="1"/>
  <c r="F19" i="1" s="1"/>
  <c r="K21" i="1"/>
  <c r="G10" i="4"/>
  <c r="I10" i="4" s="1"/>
  <c r="G13" i="4"/>
  <c r="I13" i="4" s="1"/>
  <c r="H16" i="1"/>
  <c r="H19" i="1" s="1"/>
  <c r="L9" i="1"/>
  <c r="K15" i="1"/>
  <c r="G16" i="1"/>
  <c r="G19" i="1" s="1"/>
  <c r="W19" i="1"/>
  <c r="K12" i="1"/>
  <c r="H13" i="1"/>
  <c r="C9" i="5"/>
  <c r="E23" i="3"/>
  <c r="C12" i="5"/>
  <c r="F23" i="3"/>
  <c r="F21" i="3"/>
  <c r="I16" i="4" l="1"/>
  <c r="D25" i="4" s="1"/>
  <c r="D26" i="4" s="1"/>
  <c r="D27" i="4" s="1"/>
  <c r="D38" i="4" s="1"/>
  <c r="D39" i="4" s="1"/>
  <c r="I15" i="4"/>
  <c r="I17" i="4"/>
  <c r="P23" i="6"/>
  <c r="P25" i="6"/>
  <c r="W20" i="1"/>
  <c r="L12" i="1"/>
  <c r="L23" i="1"/>
  <c r="L24" i="1" s="1"/>
  <c r="M9" i="1"/>
  <c r="L21" i="1"/>
  <c r="L15" i="1"/>
  <c r="K12" i="5"/>
  <c r="F12" i="5"/>
  <c r="J12" i="5" s="1"/>
  <c r="K9" i="5"/>
  <c r="F9" i="5"/>
  <c r="J9" i="5" s="1"/>
  <c r="K16" i="1"/>
  <c r="K19" i="1" s="1"/>
  <c r="K26" i="1" s="1"/>
  <c r="D22" i="5"/>
  <c r="X19" i="1"/>
  <c r="W21" i="1" l="1"/>
  <c r="M23" i="1"/>
  <c r="M24" i="1" s="1"/>
  <c r="M12" i="1"/>
  <c r="M21" i="1"/>
  <c r="M15" i="1"/>
  <c r="N9" i="1"/>
  <c r="X20" i="1"/>
  <c r="L16" i="1"/>
  <c r="L19" i="1" s="1"/>
  <c r="L26" i="1" s="1"/>
  <c r="D37" i="5"/>
  <c r="N48" i="1" s="1"/>
  <c r="C38" i="3"/>
  <c r="N33" i="1"/>
  <c r="N23" i="1" l="1"/>
  <c r="N24" i="1" s="1"/>
  <c r="N12" i="1"/>
  <c r="N21" i="1"/>
  <c r="N15" i="1"/>
  <c r="O9" i="1"/>
  <c r="W22" i="1"/>
  <c r="B58" i="1"/>
  <c r="B56" i="1"/>
  <c r="O27" i="1"/>
  <c r="B59" i="1"/>
  <c r="B57" i="1"/>
  <c r="B55" i="1"/>
  <c r="P27" i="1"/>
  <c r="T27" i="1"/>
  <c r="S27" i="1"/>
  <c r="R27" i="1"/>
  <c r="Q27" i="1"/>
  <c r="N27" i="1"/>
  <c r="M27" i="1"/>
  <c r="L27" i="1"/>
  <c r="L28" i="1" s="1"/>
  <c r="K27" i="1"/>
  <c r="K28" i="1" s="1"/>
  <c r="X21" i="1"/>
  <c r="M16" i="1"/>
  <c r="M19" i="1" s="1"/>
  <c r="M26" i="1" s="1"/>
  <c r="M28" i="1" s="1"/>
  <c r="D32" i="5"/>
  <c r="D34" i="5" s="1"/>
  <c r="D36" i="5" s="1"/>
  <c r="D31" i="5"/>
  <c r="D33" i="5" s="1"/>
  <c r="D35" i="5" s="1"/>
  <c r="N47" i="1" s="1"/>
  <c r="W23" i="1" l="1"/>
  <c r="O23" i="1"/>
  <c r="O24" i="1" s="1"/>
  <c r="O12" i="1"/>
  <c r="O21" i="1"/>
  <c r="O15" i="1"/>
  <c r="P9" i="1"/>
  <c r="N16" i="1"/>
  <c r="N19" i="1" s="1"/>
  <c r="N26" i="1" s="1"/>
  <c r="N28" i="1" s="1"/>
  <c r="X22" i="1"/>
  <c r="P21" i="1" l="1"/>
  <c r="P15" i="1"/>
  <c r="Q9" i="1"/>
  <c r="W24" i="1"/>
  <c r="P12" i="1"/>
  <c r="P23" i="1"/>
  <c r="P24" i="1" s="1"/>
  <c r="X23" i="1"/>
  <c r="O16" i="1"/>
  <c r="O19" i="1" s="1"/>
  <c r="O26" i="1" s="1"/>
  <c r="X24" i="1" l="1"/>
  <c r="P16" i="1"/>
  <c r="P19" i="1" s="1"/>
  <c r="P26" i="1" s="1"/>
  <c r="W25" i="1"/>
  <c r="Q21" i="1"/>
  <c r="Q15" i="1"/>
  <c r="Q12" i="1"/>
  <c r="R9" i="1"/>
  <c r="Q23" i="1"/>
  <c r="Q24" i="1" s="1"/>
  <c r="O28" i="1"/>
  <c r="W26" i="1" l="1"/>
  <c r="R12" i="1"/>
  <c r="R21" i="1"/>
  <c r="R15" i="1"/>
  <c r="S9" i="1"/>
  <c r="R23" i="1"/>
  <c r="R24" i="1" s="1"/>
  <c r="Q16" i="1"/>
  <c r="Q19" i="1" s="1"/>
  <c r="Q26" i="1" s="1"/>
  <c r="X25" i="1"/>
  <c r="P28" i="1"/>
  <c r="Q28" i="1" l="1"/>
  <c r="W27" i="1"/>
  <c r="S21" i="1"/>
  <c r="S15" i="1"/>
  <c r="T9" i="1"/>
  <c r="S23" i="1"/>
  <c r="S24" i="1" s="1"/>
  <c r="S12" i="1"/>
  <c r="X26" i="1"/>
  <c r="R16" i="1"/>
  <c r="R19" i="1" s="1"/>
  <c r="R26" i="1" s="1"/>
  <c r="S16" i="1" l="1"/>
  <c r="S19" i="1" s="1"/>
  <c r="S26" i="1" s="1"/>
  <c r="X27" i="1"/>
  <c r="W28" i="1"/>
  <c r="T21" i="1"/>
  <c r="T15" i="1"/>
  <c r="T23" i="1"/>
  <c r="T24" i="1" s="1"/>
  <c r="T12" i="1"/>
  <c r="R28" i="1"/>
  <c r="T16" i="1" l="1"/>
  <c r="T19" i="1" s="1"/>
  <c r="T26" i="1" s="1"/>
  <c r="H56" i="1" s="1"/>
  <c r="X28" i="1"/>
  <c r="S28" i="1"/>
  <c r="I59" i="1"/>
  <c r="J58" i="1"/>
  <c r="J57" i="1"/>
  <c r="G57" i="1"/>
  <c r="G59" i="1"/>
  <c r="F56" i="1"/>
  <c r="F58" i="1"/>
  <c r="G55" i="1"/>
  <c r="I56" i="1"/>
  <c r="J59" i="1"/>
  <c r="G56" i="1"/>
  <c r="I55" i="1"/>
  <c r="H57" i="1"/>
  <c r="F57" i="1"/>
  <c r="H58" i="1"/>
  <c r="H59" i="1"/>
  <c r="H55" i="1"/>
  <c r="T28" i="1" l="1"/>
  <c r="N35" i="1" s="1"/>
  <c r="N36" i="1"/>
  <c r="N37" i="1" s="1"/>
  <c r="N38" i="1" s="1"/>
  <c r="F55" i="1"/>
  <c r="F59" i="1"/>
  <c r="I58" i="1"/>
  <c r="J56" i="1"/>
  <c r="J55" i="1"/>
  <c r="G58" i="1"/>
  <c r="I57" i="1"/>
  <c r="N39" i="1" l="1"/>
  <c r="N42" i="1" s="1"/>
  <c r="N44" i="1" s="1"/>
  <c r="N62" i="1"/>
  <c r="N49" i="1"/>
  <c r="N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0" authorId="0" shapeId="0" xr:uid="{00000000-0006-0000-0200-000001000000}">
      <text>
        <r>
          <rPr>
            <sz val="10"/>
            <rFont val="Arial"/>
            <family val="2"/>
          </rPr>
          <t>Revenue growth path: 11.0% in FY27E (in line with FY26 actual 11.1%; FY23-26 avg ~13%), fading to 6.0% by FY36E so that growth converges toward the 5.5% terminal rate (below the 7.12% risk-free rate). 10-year explicit period used because Pidilite is a long-runway compounder; a 5-year horizon truncates growth abruptly.</t>
        </r>
      </text>
    </comment>
    <comment ref="H31" authorId="0" shapeId="0" xr:uid="{00000000-0006-0000-0200-000002000000}">
      <text>
        <r>
          <rPr>
            <sz val="10"/>
            <rFont val="Arial"/>
            <family val="2"/>
          </rPr>
          <t>EBITDA margin path: FY27E starts at 27.5%, just below the FY26 actual (28.5%) and near the FY24-FY26 average (~27.6%), then fades 20bp/yr to 26.0% by FY36E. Rationale: partial normalisation of FY26 input-cost tailwinds and rising competition, while retaining Pidilite's structural premium over the 5-yr average (~25.2%). Validate vs management commentary (FY26 AR).</t>
        </r>
      </text>
    </comment>
  </commentList>
</comments>
</file>

<file path=xl/sharedStrings.xml><?xml version="1.0" encoding="utf-8"?>
<sst xmlns="http://schemas.openxmlformats.org/spreadsheetml/2006/main" count="423" uniqueCount="264">
  <si>
    <t>PIDILITE INDUSTRIES — DCF VALUATION</t>
  </si>
  <si>
    <t>Enterprise-value DCF | INR crore except per-share data</t>
  </si>
  <si>
    <t>FORECAST FCFF</t>
  </si>
  <si>
    <t>Fiscal Year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</si>
  <si>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</si>
  <si>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</si>
  <si>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</si>
  <si>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</si>
  <si>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</si>
  <si>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</si>
  <si>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</si>
  <si>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</si>
  <si>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</si>
  <si>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</si>
  <si>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</si>
  <si>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</si>
  <si>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</si>
  <si>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</si>
  <si>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</si>
  <si>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Revenue</t>
  </si>
  <si>
    <t>Revenue Growth</t>
  </si>
  <si>
    <t>Chart data</t>
  </si>
  <si>
    <t>EBITDA</t>
  </si>
  <si>
    <t>EBITDA Margin</t>
  </si>
  <si>
    <t>FY</t>
  </si>
  <si>
    <t>D&amp;A</t>
  </si>
  <si>
    <t>EBIT</t>
  </si>
  <si>
    <t>Tax Rate</t>
  </si>
  <si>
    <t>NOPAT</t>
  </si>
  <si>
    <t>Capex</t>
  </si>
  <si>
    <t>Operating NWC</t>
  </si>
  <si>
    <t>Change in NWC</t>
  </si>
  <si>
    <t>FCFF</t>
  </si>
  <si>
    <t>Discount Factor</t>
  </si>
  <si>
    <t>PV of FCFF</t>
  </si>
  <si>
    <t>VALUATION OUTPUT</t>
  </si>
  <si>
    <t>WACC</t>
  </si>
  <si>
    <t>Terminal Growth Rate</t>
  </si>
  <si>
    <t>PV of Explicit FCFF</t>
  </si>
  <si>
    <t>Terminal Year FCFF</t>
  </si>
  <si>
    <t>Terminal Value</t>
  </si>
  <si>
    <t>PV of Terminal Value</t>
  </si>
  <si>
    <t>Enterprise Value</t>
  </si>
  <si>
    <t>Add: Cash &amp; Current Investments</t>
  </si>
  <si>
    <t>Less: Debt</t>
  </si>
  <si>
    <t>Equity Value</t>
  </si>
  <si>
    <t>Shares Outstanding (mn)</t>
  </si>
  <si>
    <t>Implied Value / Share (₹)</t>
  </si>
  <si>
    <t>Current Share Price (₹)</t>
  </si>
  <si>
    <t>Implied Upside / (Downside)</t>
  </si>
  <si>
    <t>EV/EBITDA-Implied Value/Share (₹)</t>
  </si>
  <si>
    <t>P/E-Implied Value/Share (₹)</t>
  </si>
  <si>
    <t>DCF vs. Comps Spread (EV/EBITDA basis)</t>
  </si>
  <si>
    <t>WACC / TERMINAL GROWTH SENSITIVITY — IMPLIED VALUE PER SHARE (axes centred on base case; WACC ±1.5% steps)</t>
  </si>
  <si>
    <t>WACC \ g</t>
  </si>
  <si>
    <t>Market-Implied Terminal Growth (approx.)</t>
  </si>
  <si>
    <t>Reverse-DCF metric: terminal growth required to reconcile the current market price with the explicit forecast and selected WACC. This is a diagnostic, not a forecast.</t>
  </si>
  <si>
    <t>PIDILITE INDUSTRIES — RAW FINANCIALS</t>
  </si>
  <si>
    <t>All figures in INR crore unless stated otherwise</t>
  </si>
  <si>
    <t>Particulars</t>
  </si>
  <si>
    <t>Revenue from Operations</t>
  </si>
  <si>
    <t>Depreciation &amp; Amortisation</t>
  </si>
  <si>
    <t>Profit Before Tax</t>
  </si>
  <si>
    <t>Profit After Tax</t>
  </si>
  <si>
    <t>Capital Expenditure</t>
  </si>
  <si>
    <t>Inventories</t>
  </si>
  <si>
    <t>Trade Receivables</t>
  </si>
  <si>
    <t>Other Operating Current Assets</t>
  </si>
  <si>
    <t>Trade Payables</t>
  </si>
  <si>
    <t>Other Operating Current Liabilities</t>
  </si>
  <si>
    <t>Cash &amp; Cash Equivalents</t>
  </si>
  <si>
    <t>Current Investments</t>
  </si>
  <si>
    <t>Total Debt</t>
  </si>
  <si>
    <t>Equity Attributable to Owners</t>
  </si>
  <si>
    <t>EBIT Margin</t>
  </si>
  <si>
    <t>NWC % Revenue</t>
  </si>
  <si>
    <t>Source / methodology</t>
  </si>
  <si>
    <t>Historical figures are based primarily on Pidilite annual reports / audited results and public financial databases. FY26 consolidated revenue, PBT, PAT and D&amp;A are from FY26 audited results; balance-sheet and cash-flow series are cross-checked against public financial databases. Consolidated figures are used for the enterprise-value DCF.</t>
  </si>
  <si>
    <t>PIDILITE INDUSTRIES — DATA SHEET</t>
  </si>
  <si>
    <t>Market data, historical operating metrics and key DCF inputs</t>
  </si>
  <si>
    <t>MARKET DATA</t>
  </si>
  <si>
    <t>Company Name</t>
  </si>
  <si>
    <t>PIDILITE INDUSTRIES LTD</t>
  </si>
  <si>
    <t>Market Capitalization (₹ Cr)</t>
  </si>
  <si>
    <t>Face Value (₹)</t>
  </si>
  <si>
    <t>Total Debt (₹ Cr)</t>
  </si>
  <si>
    <t>Cash &amp; Cash Equivalents (₹ Cr)</t>
  </si>
  <si>
    <t>Current Investments (₹ Cr)</t>
  </si>
  <si>
    <t>Net Debt / (Cash) (₹ Cr)</t>
  </si>
  <si>
    <t>HISTORICAL / FORECAST DRIVER SUMMARY</t>
  </si>
  <si>
    <t>Metric</t>
  </si>
  <si>
    <t>FY27E</t>
  </si>
  <si>
    <t>FY28E</t>
  </si>
  <si>
    <t>FY29E</t>
  </si>
  <si>
    <t>FY30E</t>
  </si>
  <si>
    <t>FY31E</t>
  </si>
  <si>
    <t>NWC</t>
  </si>
  <si>
    <t>FY32E</t>
  </si>
  <si>
    <t>FY33E</t>
  </si>
  <si>
    <t>FY34E</t>
  </si>
  <si>
    <t>FY35E</t>
  </si>
  <si>
    <t>FY36E</t>
  </si>
  <si>
    <t>D&amp;A % Revenue</t>
  </si>
  <si>
    <t>Capex % Revenue</t>
  </si>
  <si>
    <t>DCF Valuation Date</t>
  </si>
  <si>
    <t>PIDILITE INDUSTRIES — WACC</t>
  </si>
  <si>
    <t>Cost of capital using CAPM + peer beta triangulation</t>
  </si>
  <si>
    <t>PEER COMPARABLES</t>
  </si>
  <si>
    <t>Company</t>
  </si>
  <si>
    <t>Country</t>
  </si>
  <si>
    <t>Debt (₹ Cr)</t>
  </si>
  <si>
    <t>Equity Value (₹ Cr)</t>
  </si>
  <si>
    <t>D/E</t>
  </si>
  <si>
    <t>Levered Beta</t>
  </si>
  <si>
    <t>Unlevered Beta</t>
  </si>
  <si>
    <t>Source / Note</t>
  </si>
  <si>
    <t>Asian Paints</t>
  </si>
  <si>
    <t>India</t>
  </si>
  <si>
    <t>Mkt cap = Sep-2026 close (Yahoo Finance, Asian tab) x 95.77 Cr shares; refresh before use</t>
  </si>
  <si>
    <t>Berger Paints</t>
  </si>
  <si>
    <t>Mkt cap = Sep-2026 close (Yahoo Finance, Berger tab) x 116.57 Cr shares; refresh before use</t>
  </si>
  <si>
    <t>Kansai Nerolac</t>
  </si>
  <si>
    <t>Mkt cap = Sep-2026 close (Yahoo Finance, Kansai tab) x 80.71 Cr shares; refresh before use</t>
  </si>
  <si>
    <t>Astral</t>
  </si>
  <si>
    <t>Mkt cap = Sep-2026 close (Yahoo Finance, Astral tab) x 26.9 Cr shares; refresh before use</t>
  </si>
  <si>
    <t>Supreme Industries</t>
  </si>
  <si>
    <t>Mkt cap = Sep-2026 close (Yahoo Finance, Supreme tab) x 12.7 Cr shares; refresh before use</t>
  </si>
  <si>
    <t>Median Unlevered Beta</t>
  </si>
  <si>
    <t>Average Unlevered Beta</t>
  </si>
  <si>
    <t>Paints-Only Median Unlevered Beta (Asian, Berger, Kansai)</t>
  </si>
  <si>
    <t>Beta Selection Switch (1 = Median, 2 = Average, 3 = Paints-only)</t>
  </si>
  <si>
    <t>COST OF EQUITY</t>
  </si>
  <si>
    <t>Risk-Free Rate</t>
  </si>
  <si>
    <t>Equity Risk Premium</t>
  </si>
  <si>
    <t>Target Debt / Equity</t>
  </si>
  <si>
    <t>Marginal Tax Rate</t>
  </si>
  <si>
    <t>Selected Unlevered Beta</t>
  </si>
  <si>
    <t>Relevered Beta</t>
  </si>
  <si>
    <t>Cost of Equity</t>
  </si>
  <si>
    <t>WACC BUILD</t>
  </si>
  <si>
    <t>Market Capitalization</t>
  </si>
  <si>
    <t>Equity Weight</t>
  </si>
  <si>
    <t>Debt Weight</t>
  </si>
  <si>
    <t>Pre-Tax Cost of Debt</t>
  </si>
  <si>
    <t>Post-Tax Cost of Debt</t>
  </si>
  <si>
    <t>Weighted Average Cost of Capital</t>
  </si>
  <si>
    <t>Notes</t>
  </si>
  <si>
    <t>Risk-free rate uses the India 10-year government bond yield around 25-Sep-2026. Peer betas are 24-month regressions vs NIFTY 50 (Yahoo Finance, Adj Close), Blume-adjusted. Peer unlevering: Bu = BL / [1 + (1-T) x D/E]. Beta selection switch (I18) defaults to the full-peer AVERAGE: peers split into two clusters (paints ~1.1, pipes ~0.57 unlevered) and Pidilite sells into both decorative/DIY and construction channels, so the median (which lands on the paints cluster by a 3-vs-2 split) is less representative; 1 and 3 are shown as alternatives. ERP of 6.0% is a mid-range assumption for India (commonly cited estimates span ~5-7%); verify against the latest Damodaran India estimate and cite it. Weights use the target D/E (1%).</t>
  </si>
  <si>
    <t>PIDILITE INDUSTRIES — TRADING COMPS</t>
  </si>
  <si>
    <t>EV/EBITDA and P/E cross-check against the DCF, using listed paints &amp; pipes peer multiples</t>
  </si>
  <si>
    <t>PEER TRADING MULTIPLES</t>
  </si>
  <si>
    <t>Market Cap (₹ Cr)</t>
  </si>
  <si>
    <t>Cash &amp; Investments (₹ Cr)</t>
  </si>
  <si>
    <t>Enterprise Value (₹ Cr)</t>
  </si>
  <si>
    <t>LTM EBITDA (₹ Cr)</t>
  </si>
  <si>
    <t>LTM PAT (₹ Cr)</t>
  </si>
  <si>
    <t>EPS (₹) — reference only</t>
  </si>
  <si>
    <t>EV/EBITDA</t>
  </si>
  <si>
    <t>P/E</t>
  </si>
  <si>
    <t>screener.in (ASIANPAINT), consolidated, TTM ended Jun-2026 for P&amp;L; Investments as of Mar-2026 balance sheet; pulled 28-Sep-2026</t>
  </si>
  <si>
    <t>screener.in (BERGEPAINT), consolidated, TTM ended Jun-2026 for P&amp;L; Investments as of Mar-2026 balance sheet; pulled 28-Sep-2026</t>
  </si>
  <si>
    <t>screener.in (KANSAINER), consolidated, TTM ended Jun-2026 for P&amp;L; Investments as of Mar-2026 balance sheet; pulled 28-Sep-2026</t>
  </si>
  <si>
    <t>screener.in (ASTRAL), consolidated, TTM ended Jun-2026 for P&amp;L; balance sheet carries no separate Investments line (cash embedded in Other Assets) as of Mar-2026; pulled 28-Sep-2026</t>
  </si>
  <si>
    <t>screener.in (SUPREMEIND), consolidated, TTM ended Jun-2026 for P&amp;L; Investments as of Mar-2026 balance sheet; pulled 28-Sep-2026</t>
  </si>
  <si>
    <t>Median EV/EBITDA</t>
  </si>
  <si>
    <t>Median P/E</t>
  </si>
  <si>
    <t>APPLY MULTIPLES TO PIDILITE</t>
  </si>
  <si>
    <t>Pidilite FY26 Actual EBITDA (₹ Cr)</t>
  </si>
  <si>
    <t>Pidilite FY27E Forecast EBITDA (₹ Cr)</t>
  </si>
  <si>
    <t>Pidilite FY26 Actual PAT (₹ Cr)</t>
  </si>
  <si>
    <t>IMPLIED VALUATION</t>
  </si>
  <si>
    <t>Implied EV — EV/EBITDA Method, FY26 Actual (₹ Cr)</t>
  </si>
  <si>
    <t>Implied EV — EV/EBITDA, FY27E EBITDA (LTM peer multiple x forward EBITDA; indicative) (₹ Cr)</t>
  </si>
  <si>
    <t>Implied Equity Value — FY26 Actual (₹ Cr)</t>
  </si>
  <si>
    <t>Implied Equity Value — FY27E Forecast (₹ Cr)</t>
  </si>
  <si>
    <t>Implied Value/Share — EV/EBITDA Method, FY26 Actual (₹)</t>
  </si>
  <si>
    <t>Implied Value/Share — EV/EBITDA Method, FY27E Forecast (₹)</t>
  </si>
  <si>
    <t>Implied Value/Share — P/E Method, FY26 Actual PAT (₹)</t>
  </si>
  <si>
    <t>Note: Peer market caps (WACC!E9:E13) are refreshed to Sep-2026 closing prices x shares outstanding; peer LTM EBITDA / PAT / EPS are TTM to Jun-2026 (screener.in, 28-Sep-2026). Astral cash shown as 0 because screener carries no separate investments line - verify against the Mar-2026 balance sheet. Peer EV/EBITDA is dispersed (Kansai ~12x vs Astral ~34x), so the median is a rough anchor, not a precise target.</t>
  </si>
  <si>
    <t>PIDILITE INDUSTRIES — INTRINSIC GROWTH</t>
  </si>
  <si>
    <t>ROIC × Reinvestment Rate framework</t>
  </si>
  <si>
    <t>ROIC BUILD</t>
  </si>
  <si>
    <t>Operating Current Assets</t>
  </si>
  <si>
    <t>Operating Current Liabilities</t>
  </si>
  <si>
    <t>Net Operating Working Capital</t>
  </si>
  <si>
    <t>Invested Capital Proxy</t>
  </si>
  <si>
    <t>ROIC</t>
  </si>
  <si>
    <t>REINVESTMENT RATE &amp; INTRINSIC GROWTH</t>
  </si>
  <si>
    <t>5Y Median</t>
  </si>
  <si>
    <t>5Y Average</t>
  </si>
  <si>
    <t>Reinvestment</t>
  </si>
  <si>
    <t>Reinvestment Rate</t>
  </si>
  <si>
    <t>Terminal g</t>
  </si>
  <si>
    <t>Intrinsic Growth</t>
  </si>
  <si>
    <t>ASTRAL LTD — BETA SUPPORT</t>
  </si>
  <si>
    <t>Peer beta input sheet | refresh market series before interview use</t>
  </si>
  <si>
    <t>BETA INPUT / TRIANGULATION</t>
  </si>
  <si>
    <t>ASTRAL LTD</t>
  </si>
  <si>
    <t>Reference Levered Beta</t>
  </si>
  <si>
    <t>Method</t>
  </si>
  <si>
    <t>2-year monthly regression beta vs NIFTY 50 (Oct-2024 to Sep-2026), Adj Close, Source: Yahoo Finance</t>
  </si>
  <si>
    <t>Raw Beta Weight</t>
  </si>
  <si>
    <t>Market Beta</t>
  </si>
  <si>
    <t>Market Beta Weight</t>
  </si>
  <si>
    <t>Adjusted Beta</t>
  </si>
  <si>
    <t>Beta regression completed using 24 months of Adj Close data (Oct-2024 to Sep-2026) for the peer and NIFTY 50, sourced from Yahoo Finance. Regression Beta (J23) feeds directly into Reference Levered Beta (C9) above, which is then Blume-adjusted (rows 12-15) before use in the WACC build.</t>
  </si>
  <si>
    <t>Date</t>
  </si>
  <si>
    <t>Peer Price (Adj Close)</t>
  </si>
  <si>
    <t>Peer Return</t>
  </si>
  <si>
    <t>NIFTY Price (Adj Close)</t>
  </si>
  <si>
    <t>NIFTY Return</t>
  </si>
  <si>
    <t>Regression Beta</t>
  </si>
  <si>
    <t>SUPREME INDUSTRIES LTD — BETA SUPPORT</t>
  </si>
  <si>
    <t>SUPREME INDUSTRIES LTD</t>
  </si>
  <si>
    <t>ASIAN PAINTS LTD — BETA SUPPORT</t>
  </si>
  <si>
    <t>ASIAN PAINTS LTD</t>
  </si>
  <si>
    <t>BERGER PAINTS INDIA LTD — BETA SUPPORT</t>
  </si>
  <si>
    <t>BERGER PAINTS INDIA LTD</t>
  </si>
  <si>
    <t>KANSAI NEROLAC PAINTS LTD — BETA SUPPORT</t>
  </si>
  <si>
    <t>KANSAI NEROLAC PAINTS LTD</t>
  </si>
  <si>
    <t>MARKET RETURN / ERP SUPPORT</t>
  </si>
  <si>
    <t>Long-run market return support for CAPM</t>
  </si>
  <si>
    <t>ILLUSTRATIVE MARKET RETURN SERIES</t>
  </si>
  <si>
    <t>Year</t>
  </si>
  <si>
    <t>Annual Market Return</t>
  </si>
  <si>
    <t>Average Return</t>
  </si>
  <si>
    <t>Dividend Yield</t>
  </si>
  <si>
    <t>Total Market Return</t>
  </si>
  <si>
    <t>SOURCES &amp; MODEL NOTES</t>
  </si>
  <si>
    <t>Item</t>
  </si>
  <si>
    <t>Source / Reference</t>
  </si>
  <si>
    <t>Use in Model</t>
  </si>
  <si>
    <t>Pidilite FY25-26 Annual Report</t>
  </si>
  <si>
    <t>https://annual-reports.pidilite.com/Annual-Report-2025-26/index.html</t>
  </si>
  <si>
    <t>FY26 audited operating and financial context</t>
  </si>
  <si>
    <t>Pidilite 10-Year Financial Performance</t>
  </si>
  <si>
    <t>https://annual-reports.pidilite.com/Annual-Report-2025-26/10-years-financial-performance.html</t>
  </si>
  <si>
    <t>Historical operating results, capex and ratios</t>
  </si>
  <si>
    <t>Pidilite Investor Relations</t>
  </si>
  <si>
    <t>https://www.pidilite.com/investor-relations/</t>
  </si>
  <si>
    <t>Audited results and investor materials</t>
  </si>
  <si>
    <t>FY26 Consolidated Results</t>
  </si>
  <si>
    <t>FY26 audited results / exchange filing; revenue ₹14,600.83 Cr, PBT ₹3,320.17 Cr, PAT ₹2,448.92 Cr</t>
  </si>
  <si>
    <t>DCF base year</t>
  </si>
  <si>
    <t>Market Price</t>
  </si>
  <si>
    <t>Public market data; 25-Sep-2026 close ₹1,517.20</t>
  </si>
  <si>
    <t>Current share price</t>
  </si>
  <si>
    <t>India 10Y Government Bond</t>
  </si>
  <si>
    <t>Public market data; 25-Sep-2026 yield ~7.12%</t>
  </si>
  <si>
    <t>Risk-free rate</t>
  </si>
  <si>
    <t>Peer Betas (regression)</t>
  </si>
  <si>
    <t>Yahoo Finance monthly Adj Close, Oct-2024 to Sep-2026: ASTRAL.NS, SUPREMEIND.NS, ASIANPAINT.NS, BERGEPAINT.NS, KANSAINER.NS, ^NSEI</t>
  </si>
  <si>
    <t>Regression beta (SLOPE of peer vs NIFTY monthly returns) -&gt; Blume-adjusted -&gt; unlevered/relevered in WACC</t>
  </si>
  <si>
    <t>DCF Convention</t>
  </si>
  <si>
    <t>Mid-year discounting; 10-year explicit FCFF then Gordon Growth terminal value</t>
  </si>
  <si>
    <t>Valuation methodology</t>
  </si>
  <si>
    <t>Peer LTM financials</t>
  </si>
  <si>
    <t>screener.in consolidated TTM to Jun-2026 (EBITDA, PAT, EPS, investments); pulled 28-Sep-2026</t>
  </si>
  <si>
    <t>Trading comps (Comps tab)</t>
  </si>
  <si>
    <t>Peer market caps</t>
  </si>
  <si>
    <t>Sep-2026 close (Yahoo Finance) x shares outstanding (Cr): Asian 95.77, Berger 116.57, Kansai 80.71, Astral 26.9, Supreme 12.70</t>
  </si>
  <si>
    <t>Peer equity value for D/E and EV multiples</t>
  </si>
  <si>
    <t>Key model conventions</t>
  </si>
  <si>
    <t>1. Consolidated financials are used for enterprise-value DCF consistency.
2. Forecasts run FY27E–FY36E (10-year fade: growth 11% to 6%, EBITDA margin 27.5% to 26.0%).
3. FCFF = EBIT × (1-tax) + D&amp;A – Capex – Change in Operating NWC.
4. Terminal value uses Gordon Growth; TV discounted with the final-year mid-year factor.
5. Sensitivity table is centred on the live base-case WACC and terminal growth.
6. Reverse DCF estimates the terminal growth required to reconcile the market price.
7. Yellow cells are inputs; green cells are key outputs.
8. Cross-check: trading comps (EV/EBITDA, P/E) on the Comps tab; DCF vs comps spread on DCF!N60.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</si>
</sst>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%"/>
    <numFmt numFmtId="166" formatCode="\₹#,##0"/>
    <numFmt numFmtId="167" formatCode="\₹#,##0.0"/>
    <numFmt numFmtId="168" formatCode="dd\-mmm\-yyyy"/>
    <numFmt numFmtId="169" formatCode="0.0\x"/>
    <numFmt numFmtId="170" formatCode="0.00\x"/>
    <numFmt numFmtId="171" formatCode="#,##0.000"/>
    <numFmt numFmtId="172" formatCode="mmm\-yy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  <font>
      <sz val="11"/>
      <name val="Arial"/>
      <charset val="1"/>
    </font>
    <font>
      <i/>
      <sz val="8"/>
      <name val="Arial"/>
      <charset val="1"/>
    </font>
    <font>
      <sz val="9"/>
      <color rgb="FF666666"/>
      <name val="Arial"/>
      <charset val="1"/>
    </font>
    <font>
      <sz val="9"/>
      <color rgb="FF555555"/>
      <name val="Arial"/>
      <charset val="1"/>
    </font>
    <font>
      <sz val="10"/>
      <name val="Arial"/>
      <family val="2"/>
    </font>
    <font>
      <i/>
      <sz val="8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7202A"/>
        <bgColor rgb="FF0F1115"/>
      </patternFill>
    </fill>
    <fill>
      <patternFill patternType="solid">
        <fgColor rgb="FF0F1115"/>
        <bgColor rgb="FF17202A"/>
      </patternFill>
    </fill>
    <fill>
      <patternFill patternType="solid">
        <fgColor rgb="FFEEF5FB"/>
        <bgColor rgb="FFE8F5EF"/>
      </patternFill>
    </fill>
    <fill>
      <patternFill patternType="solid">
        <fgColor rgb="FFE8F5EF"/>
        <bgColor rgb="FFEEF5FB"/>
      </patternFill>
    </fill>
    <fill>
      <patternFill patternType="solid">
        <fgColor rgb="FFFFF2CC"/>
        <bgColor rgb="FFE8F5EF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3" fillId="3" borderId="0" xfId="0" applyFont="1" applyFill="1"/>
    <xf numFmtId="0" fontId="1" fillId="2" borderId="0" xfId="0" applyFont="1" applyFill="1"/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0" fillId="0" borderId="0" xfId="0" applyNumberFormat="1"/>
    <xf numFmtId="165" fontId="5" fillId="0" borderId="1" xfId="0" applyNumberFormat="1" applyFont="1" applyBorder="1" applyAlignment="1">
      <alignment vertical="center"/>
    </xf>
    <xf numFmtId="0" fontId="6" fillId="0" borderId="0" xfId="0" applyFont="1"/>
    <xf numFmtId="164" fontId="0" fillId="0" borderId="0" xfId="0" applyNumberFormat="1"/>
    <xf numFmtId="0" fontId="4" fillId="0" borderId="1" xfId="0" applyFont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vertical="center"/>
    </xf>
    <xf numFmtId="0" fontId="4" fillId="0" borderId="2" xfId="0" applyFont="1" applyBorder="1"/>
    <xf numFmtId="164" fontId="5" fillId="5" borderId="2" xfId="0" applyNumberFormat="1" applyFont="1" applyFill="1" applyBorder="1"/>
    <xf numFmtId="165" fontId="5" fillId="5" borderId="2" xfId="0" applyNumberFormat="1" applyFont="1" applyFill="1" applyBorder="1"/>
    <xf numFmtId="166" fontId="5" fillId="0" borderId="1" xfId="0" applyNumberFormat="1" applyFont="1" applyBorder="1" applyAlignment="1">
      <alignment vertical="center"/>
    </xf>
    <xf numFmtId="164" fontId="5" fillId="6" borderId="1" xfId="0" applyNumberFormat="1" applyFont="1" applyFill="1" applyBorder="1" applyAlignment="1">
      <alignment vertical="center"/>
    </xf>
    <xf numFmtId="167" fontId="5" fillId="6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165" fontId="5" fillId="6" borderId="1" xfId="0" applyNumberFormat="1" applyFont="1" applyFill="1" applyBorder="1" applyAlignment="1">
      <alignment vertical="center"/>
    </xf>
    <xf numFmtId="168" fontId="5" fillId="6" borderId="1" xfId="0" applyNumberFormat="1" applyFont="1" applyFill="1" applyBorder="1" applyAlignment="1">
      <alignment vertical="center"/>
    </xf>
    <xf numFmtId="169" fontId="5" fillId="6" borderId="1" xfId="0" applyNumberFormat="1" applyFont="1" applyFill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170" fontId="5" fillId="6" borderId="1" xfId="0" applyNumberFormat="1" applyFont="1" applyFill="1" applyBorder="1" applyAlignment="1">
      <alignment vertical="center"/>
    </xf>
    <xf numFmtId="1" fontId="5" fillId="6" borderId="1" xfId="0" applyNumberFormat="1" applyFont="1" applyFill="1" applyBorder="1" applyAlignment="1">
      <alignment vertical="center"/>
    </xf>
    <xf numFmtId="0" fontId="7" fillId="0" borderId="0" xfId="0" applyFont="1"/>
    <xf numFmtId="0" fontId="4" fillId="4" borderId="2" xfId="0" applyFont="1" applyFill="1" applyBorder="1" applyAlignment="1">
      <alignment horizontal="center"/>
    </xf>
    <xf numFmtId="0" fontId="5" fillId="0" borderId="0" xfId="0" applyFont="1"/>
    <xf numFmtId="164" fontId="5" fillId="0" borderId="0" xfId="0" applyNumberFormat="1" applyFont="1"/>
    <xf numFmtId="164" fontId="5" fillId="6" borderId="0" xfId="0" applyNumberFormat="1" applyFont="1" applyFill="1"/>
    <xf numFmtId="4" fontId="5" fillId="6" borderId="0" xfId="0" applyNumberFormat="1" applyFont="1" applyFill="1"/>
    <xf numFmtId="169" fontId="5" fillId="0" borderId="0" xfId="0" applyNumberFormat="1" applyFont="1"/>
    <xf numFmtId="0" fontId="10" fillId="0" borderId="0" xfId="0" applyFont="1" applyAlignment="1">
      <alignment vertical="top" wrapText="1"/>
    </xf>
    <xf numFmtId="171" fontId="5" fillId="0" borderId="0" xfId="0" applyNumberFormat="1" applyFont="1"/>
    <xf numFmtId="9" fontId="5" fillId="0" borderId="1" xfId="0" applyNumberFormat="1" applyFont="1" applyBorder="1" applyAlignment="1">
      <alignment vertical="center"/>
    </xf>
    <xf numFmtId="172" fontId="5" fillId="0" borderId="1" xfId="0" applyNumberFormat="1" applyFont="1" applyBorder="1" applyAlignment="1">
      <alignment vertical="center"/>
    </xf>
    <xf numFmtId="0" fontId="0" fillId="6" borderId="0" xfId="0" applyFill="1"/>
    <xf numFmtId="0" fontId="5" fillId="6" borderId="1" xfId="0" applyFont="1" applyFill="1" applyBorder="1" applyAlignment="1">
      <alignment vertical="center"/>
    </xf>
    <xf numFmtId="172" fontId="0" fillId="0" borderId="0" xfId="0" applyNumberFormat="1"/>
    <xf numFmtId="0" fontId="5" fillId="0" borderId="1" xfId="0" applyFont="1" applyBorder="1" applyAlignment="1">
      <alignment vertical="top" wrapText="1"/>
    </xf>
    <xf numFmtId="0" fontId="0" fillId="7" borderId="0" xfId="0" applyFill="1" applyAlignment="1">
      <alignment horizontal="centerContinuous"/>
    </xf>
    <xf numFmtId="169" fontId="5" fillId="7" borderId="0" xfId="0" applyNumberFormat="1" applyFont="1" applyFill="1"/>
    <xf numFmtId="169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5B9BD5"/>
      <rgbColor rgb="FFC0504D"/>
      <rgbColor rgb="FFFFF2CC"/>
      <rgbColor rgb="FFE8F5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B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C00"/>
      <rgbColor rgb="FFFF9900"/>
      <rgbColor rgb="FFC65911"/>
      <rgbColor rgb="FF666666"/>
      <rgbColor rgb="FFA5A5A5"/>
      <rgbColor rgb="FF1F4E78"/>
      <rgbColor rgb="FF00A86B"/>
      <rgbColor rgb="FF0F1115"/>
      <rgbColor rgb="FF555555"/>
      <rgbColor rgb="FF993300"/>
      <rgbColor rgb="FF993366"/>
      <rgbColor rgb="FF1F4E79"/>
      <rgbColor rgb="FF1720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EBITDA (₹ Cr), FY22–FY36E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DCF!$W$13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DCF!$V$14:$V$28</c:f>
              <c:strCache>
                <c:ptCount val="1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  <c:pt idx="10">
                  <c:v>FY32</c:v>
                </c:pt>
                <c:pt idx="11">
                  <c:v>FY33</c:v>
                </c:pt>
                <c:pt idx="12">
                  <c:v>FY34</c:v>
                </c:pt>
                <c:pt idx="13">
                  <c:v>FY35</c:v>
                </c:pt>
                <c:pt idx="14">
                  <c:v>FY36</c:v>
                </c:pt>
              </c:strCache>
            </c:strRef>
          </c:cat>
          <c:val>
            <c:numRef>
              <c:f>DCF!$W$14:$W$28</c:f>
              <c:numCache>
                <c:formatCode>#,##0.0</c:formatCode>
                <c:ptCount val="15"/>
                <c:pt idx="0">
                  <c:v>8917</c:v>
                </c:pt>
                <c:pt idx="1">
                  <c:v>10660</c:v>
                </c:pt>
                <c:pt idx="2">
                  <c:v>11333</c:v>
                </c:pt>
                <c:pt idx="3">
                  <c:v>13140.31</c:v>
                </c:pt>
                <c:pt idx="4">
                  <c:v>14600.83</c:v>
                </c:pt>
                <c:pt idx="5">
                  <c:v>16206.921300000002</c:v>
                </c:pt>
                <c:pt idx="6">
                  <c:v>17989.682643000004</c:v>
                </c:pt>
                <c:pt idx="7">
                  <c:v>19878.599320515004</c:v>
                </c:pt>
                <c:pt idx="8">
                  <c:v>21866.459252566507</c:v>
                </c:pt>
                <c:pt idx="9">
                  <c:v>23943.772881560326</c:v>
                </c:pt>
                <c:pt idx="10">
                  <c:v>26098.712440900756</c:v>
                </c:pt>
                <c:pt idx="11">
                  <c:v>28186.609436172817</c:v>
                </c:pt>
                <c:pt idx="12">
                  <c:v>30159.672096704915</c:v>
                </c:pt>
                <c:pt idx="13">
                  <c:v>32120.050782990733</c:v>
                </c:pt>
                <c:pt idx="14">
                  <c:v>34047.253829970177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E-42B1-9165-1FF77BC90F3C}"/>
            </c:ext>
          </c:extLst>
        </c:ser>
        <c:ser>
          <c:idx val="1"/>
          <c:order val="1"/>
          <c:tx>
            <c:strRef>
              <c:f>DCF!$X$13</c:f>
              <c:strCache>
                <c:ptCount val="1"/>
                <c:pt idx="0">
                  <c:v>EBITDA</c:v>
                </c:pt>
              </c:strCache>
            </c:strRef>
          </c:tx>
          <c:spPr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DCF!$V$14:$V$28</c:f>
              <c:strCache>
                <c:ptCount val="1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  <c:pt idx="10">
                  <c:v>FY32</c:v>
                </c:pt>
                <c:pt idx="11">
                  <c:v>FY33</c:v>
                </c:pt>
                <c:pt idx="12">
                  <c:v>FY34</c:v>
                </c:pt>
                <c:pt idx="13">
                  <c:v>FY35</c:v>
                </c:pt>
                <c:pt idx="14">
                  <c:v>FY36</c:v>
                </c:pt>
              </c:strCache>
            </c:strRef>
          </c:cat>
          <c:val>
            <c:numRef>
              <c:f>DCF!$X$14:$X$28</c:f>
              <c:numCache>
                <c:formatCode>#,##0.0</c:formatCode>
                <c:ptCount val="15"/>
                <c:pt idx="0">
                  <c:v>2020</c:v>
                </c:pt>
                <c:pt idx="1">
                  <c:v>2165</c:v>
                </c:pt>
                <c:pt idx="2">
                  <c:v>3057</c:v>
                </c:pt>
                <c:pt idx="3">
                  <c:v>3590</c:v>
                </c:pt>
                <c:pt idx="4">
                  <c:v>4163.8100000000004</c:v>
                </c:pt>
                <c:pt idx="5">
                  <c:v>4456.9033575000012</c:v>
                </c:pt>
                <c:pt idx="6">
                  <c:v>4929.1730441820018</c:v>
                </c:pt>
                <c:pt idx="7">
                  <c:v>5406.9790151800817</c:v>
                </c:pt>
                <c:pt idx="8">
                  <c:v>5903.9439981929572</c:v>
                </c:pt>
                <c:pt idx="9">
                  <c:v>6416.931132258168</c:v>
                </c:pt>
                <c:pt idx="10">
                  <c:v>6942.2575092796014</c:v>
                </c:pt>
                <c:pt idx="11">
                  <c:v>7441.2648911496244</c:v>
                </c:pt>
                <c:pt idx="12">
                  <c:v>7901.8340893366876</c:v>
                </c:pt>
                <c:pt idx="13">
                  <c:v>8383.3332543605811</c:v>
                </c:pt>
                <c:pt idx="14">
                  <c:v>8852.2859957922465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E-42B1-9165-1FF77BC90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773528"/>
        <c:axId val="2867676"/>
      </c:lineChart>
      <c:catAx>
        <c:axId val="62773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7676"/>
        <c:crosses val="autoZero"/>
        <c:auto val="1"/>
        <c:lblAlgn val="ctr"/>
        <c:lblOffset val="100"/>
        <c:noMultiLvlLbl val="0"/>
      </c:catAx>
      <c:valAx>
        <c:axId val="2867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73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438150</xdr:colOff>
      <xdr:row>29</xdr:row>
      <xdr:rowOff>133350</xdr:rowOff>
    </xdr:from>
    <xdr:to>
      <xdr:col>22</xdr:col>
      <xdr:colOff>641700</xdr:colOff>
      <xdr:row>44</xdr:row>
      <xdr:rowOff>89370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86B"/>
    <pageSetUpPr fitToPage="1"/>
  </sheetPr>
  <dimension ref="B2:X82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Z40" sqref="Z40"/>
    </sheetView>
  </sheetViews>
  <sheetFormatPr defaultColWidth="8.6640625" defaultRowHeight="14.4" x14ac:dyDescent="0.3"/>
  <cols>
    <col min="1" max="1" width="3" customWidth="1"/>
    <col min="2" max="2" width="40" customWidth="1"/>
    <col min="3" max="5" width="4" customWidth="1"/>
    <col min="6" max="15" width="15" customWidth="1"/>
    <col min="16" max="24" width="12" customWidth="1"/>
  </cols>
  <sheetData>
    <row r="2" spans="2:24" ht="24" customHeight="1" x14ac:dyDescent="0.3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2:24" ht="15" customHeight="1" x14ac:dyDescent="0.3">
      <c r="B4" s="9" t="s">
        <v>1</v>
      </c>
    </row>
    <row r="6" spans="2:24" ht="15" customHeight="1" x14ac:dyDescent="0.3">
      <c r="B6" s="7" t="s">
        <v>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8" spans="2:24" ht="15" customHeight="1" x14ac:dyDescent="0.3">
      <c r="B8" s="10" t="s">
        <v>3</v>
      </c>
      <c r="C8" s="10"/>
      <c r="D8" s="10"/>
      <c r="E8" s="10"/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</row>
    <row r="9" spans="2:24" ht="15" customHeight="1" x14ac:dyDescent="0.3">
      <c r="B9" s="11" t="s">
        <v>19</v>
      </c>
      <c r="F9" s="12">
        <f>'RAW FS'!C7</f>
        <v>8917</v>
      </c>
      <c r="G9" s="12">
        <f>'RAW FS'!D7</f>
        <v>10660</v>
      </c>
      <c r="H9" s="12">
        <f>'RAW FS'!E7</f>
        <v>11333</v>
      </c>
      <c r="I9" s="12">
        <f>'RAW FS'!F7</f>
        <v>13140.31</v>
      </c>
      <c r="J9" s="12">
        <f>'RAW FS'!G7</f>
        <v>14600.83</v>
      </c>
      <c r="K9" s="12">
        <f t="shared" ref="K9:T9" si="0">J9*(1+K10)</f>
        <v>16206.921300000002</v>
      </c>
      <c r="L9" s="12">
        <f t="shared" si="0"/>
        <v>17989.682643000004</v>
      </c>
      <c r="M9" s="12">
        <f t="shared" si="0"/>
        <v>19878.599320515004</v>
      </c>
      <c r="N9" s="12">
        <f t="shared" si="0"/>
        <v>21866.459252566507</v>
      </c>
      <c r="O9" s="12">
        <f t="shared" si="0"/>
        <v>23943.772881560326</v>
      </c>
      <c r="P9" s="12">
        <f t="shared" si="0"/>
        <v>26098.712440900756</v>
      </c>
      <c r="Q9" s="12">
        <f t="shared" si="0"/>
        <v>28186.609436172817</v>
      </c>
      <c r="R9" s="12">
        <f t="shared" si="0"/>
        <v>30159.672096704915</v>
      </c>
      <c r="S9" s="12">
        <f t="shared" si="0"/>
        <v>32120.050782990733</v>
      </c>
      <c r="T9" s="12">
        <f t="shared" si="0"/>
        <v>34047.253829970177</v>
      </c>
    </row>
    <row r="10" spans="2:24" ht="15" customHeight="1" x14ac:dyDescent="0.3">
      <c r="B10" s="11" t="s">
        <v>20</v>
      </c>
      <c r="F10" s="13"/>
      <c r="G10" s="14">
        <f>G9/F9-1</f>
        <v>0.19546932824941132</v>
      </c>
      <c r="H10" s="14">
        <f>H9/G9-1</f>
        <v>6.3133208255159445E-2</v>
      </c>
      <c r="I10" s="14">
        <f>I9/H9-1</f>
        <v>0.15947321980058238</v>
      </c>
      <c r="J10" s="14">
        <f>J9/I9-1</f>
        <v>0.11114806271693745</v>
      </c>
      <c r="K10" s="14">
        <f>'Data Sheet'!H30</f>
        <v>0.11</v>
      </c>
      <c r="L10" s="14">
        <f>'Data Sheet'!I30</f>
        <v>0.11</v>
      </c>
      <c r="M10" s="14">
        <f>'Data Sheet'!J30</f>
        <v>0.105</v>
      </c>
      <c r="N10" s="14">
        <f>'Data Sheet'!K30</f>
        <v>0.1</v>
      </c>
      <c r="O10" s="14">
        <f>'Data Sheet'!L30</f>
        <v>9.5000000000000001E-2</v>
      </c>
      <c r="P10" s="14">
        <f>'Data Sheet'!M30</f>
        <v>0.09</v>
      </c>
      <c r="Q10" s="14">
        <f>'Data Sheet'!N30</f>
        <v>0.08</v>
      </c>
      <c r="R10" s="14">
        <f>'Data Sheet'!O30</f>
        <v>7.0000000000000007E-2</v>
      </c>
      <c r="S10" s="14">
        <f>'Data Sheet'!P30</f>
        <v>6.5000000000000002E-2</v>
      </c>
      <c r="T10" s="14">
        <f>'Data Sheet'!Q30</f>
        <v>0.06</v>
      </c>
    </row>
    <row r="11" spans="2:24" ht="14.25" customHeight="1" x14ac:dyDescent="0.3">
      <c r="V11" s="15" t="s">
        <v>21</v>
      </c>
    </row>
    <row r="12" spans="2:24" ht="15" customHeight="1" x14ac:dyDescent="0.3">
      <c r="B12" s="11" t="s">
        <v>22</v>
      </c>
      <c r="F12" s="12">
        <f>'RAW FS'!C8</f>
        <v>2020</v>
      </c>
      <c r="G12" s="12">
        <f>'RAW FS'!D8</f>
        <v>2165</v>
      </c>
      <c r="H12" s="12">
        <f>'RAW FS'!E8</f>
        <v>3057</v>
      </c>
      <c r="I12" s="12">
        <f>'RAW FS'!F8</f>
        <v>3590</v>
      </c>
      <c r="J12" s="12">
        <f>'RAW FS'!G8</f>
        <v>4163.8100000000004</v>
      </c>
      <c r="K12" s="12">
        <f t="shared" ref="K12:T12" si="1">K9*K13</f>
        <v>4456.9033575000012</v>
      </c>
      <c r="L12" s="12">
        <f t="shared" si="1"/>
        <v>4929.1730441820018</v>
      </c>
      <c r="M12" s="12">
        <f t="shared" si="1"/>
        <v>5406.9790151800817</v>
      </c>
      <c r="N12" s="12">
        <f t="shared" si="1"/>
        <v>5903.9439981929572</v>
      </c>
      <c r="O12" s="12">
        <f t="shared" si="1"/>
        <v>6416.931132258168</v>
      </c>
      <c r="P12" s="12">
        <f t="shared" si="1"/>
        <v>6942.2575092796014</v>
      </c>
      <c r="Q12" s="12">
        <f t="shared" si="1"/>
        <v>7441.2648911496244</v>
      </c>
      <c r="R12" s="12">
        <f t="shared" si="1"/>
        <v>7901.8340893366876</v>
      </c>
      <c r="S12" s="12">
        <f t="shared" si="1"/>
        <v>8383.3332543605811</v>
      </c>
      <c r="T12" s="12">
        <f t="shared" si="1"/>
        <v>8852.2859957922465</v>
      </c>
    </row>
    <row r="13" spans="2:24" ht="15" customHeight="1" x14ac:dyDescent="0.3">
      <c r="B13" s="11" t="s">
        <v>23</v>
      </c>
      <c r="F13" s="14">
        <f>F12/F9</f>
        <v>0.22653358752943814</v>
      </c>
      <c r="G13" s="14">
        <f>G12/G9</f>
        <v>0.20309568480300189</v>
      </c>
      <c r="H13" s="14">
        <f>H12/H9</f>
        <v>0.26974322774199239</v>
      </c>
      <c r="I13" s="14">
        <f>I12/I9</f>
        <v>0.27320512225358456</v>
      </c>
      <c r="J13" s="14">
        <f>J12/J9</f>
        <v>0.28517625367872923</v>
      </c>
      <c r="K13" s="14">
        <f>'Data Sheet'!H31</f>
        <v>0.27500000000000002</v>
      </c>
      <c r="L13" s="14">
        <f>'Data Sheet'!I31</f>
        <v>0.27400000000000002</v>
      </c>
      <c r="M13" s="14">
        <f>'Data Sheet'!J31</f>
        <v>0.27200000000000002</v>
      </c>
      <c r="N13" s="14">
        <f>'Data Sheet'!K31</f>
        <v>0.27</v>
      </c>
      <c r="O13" s="14">
        <f>'Data Sheet'!L31</f>
        <v>0.26800000000000002</v>
      </c>
      <c r="P13" s="14">
        <f>'Data Sheet'!M31</f>
        <v>0.26600000000000001</v>
      </c>
      <c r="Q13" s="14">
        <f>'Data Sheet'!N31</f>
        <v>0.26400000000000001</v>
      </c>
      <c r="R13" s="14">
        <f>'Data Sheet'!O31</f>
        <v>0.26200000000000001</v>
      </c>
      <c r="S13" s="14">
        <f>'Data Sheet'!P31</f>
        <v>0.26100000000000001</v>
      </c>
      <c r="T13" s="14">
        <f>'Data Sheet'!Q31</f>
        <v>0.26</v>
      </c>
      <c r="V13" s="11" t="s">
        <v>24</v>
      </c>
      <c r="W13" s="11" t="s">
        <v>19</v>
      </c>
      <c r="X13" s="11" t="s">
        <v>22</v>
      </c>
    </row>
    <row r="14" spans="2:24" ht="14.25" customHeight="1" x14ac:dyDescent="0.3">
      <c r="V14" s="11" t="s">
        <v>4</v>
      </c>
      <c r="W14" s="12">
        <f>F9</f>
        <v>8917</v>
      </c>
      <c r="X14" s="12">
        <f>F12</f>
        <v>2020</v>
      </c>
    </row>
    <row r="15" spans="2:24" ht="15" customHeight="1" x14ac:dyDescent="0.3">
      <c r="B15" s="11" t="s">
        <v>25</v>
      </c>
      <c r="F15" s="12">
        <f>'RAW FS'!C9</f>
        <v>194</v>
      </c>
      <c r="G15" s="12">
        <f>'RAW FS'!D9</f>
        <v>222</v>
      </c>
      <c r="H15" s="12">
        <f>'RAW FS'!E9</f>
        <v>289</v>
      </c>
      <c r="I15" s="12">
        <f>'RAW FS'!F9</f>
        <v>358.48</v>
      </c>
      <c r="J15" s="12">
        <f>'RAW FS'!G9</f>
        <v>394.71</v>
      </c>
      <c r="K15" s="12">
        <f>K9*'Data Sheet'!H32</f>
        <v>437.58687510000004</v>
      </c>
      <c r="L15" s="12">
        <f>L9*'Data Sheet'!I32</f>
        <v>485.7214313610001</v>
      </c>
      <c r="M15" s="12">
        <f>M9*'Data Sheet'!J32</f>
        <v>536.72218165390507</v>
      </c>
      <c r="N15" s="12">
        <f>N9*'Data Sheet'!K32</f>
        <v>590.3943998192957</v>
      </c>
      <c r="O15" s="12">
        <f>O9*'Data Sheet'!L32</f>
        <v>646.48186780212882</v>
      </c>
      <c r="P15" s="12">
        <f>P9*'Data Sheet'!M32</f>
        <v>704.66523590432041</v>
      </c>
      <c r="Q15" s="12">
        <f>Q9*'Data Sheet'!N32</f>
        <v>761.03845477666607</v>
      </c>
      <c r="R15" s="12">
        <f>R9*'Data Sheet'!O32</f>
        <v>814.31114661103265</v>
      </c>
      <c r="S15" s="12">
        <f>S9*'Data Sheet'!P32</f>
        <v>867.24137114074972</v>
      </c>
      <c r="T15" s="12">
        <f>T9*'Data Sheet'!Q32</f>
        <v>919.27585340919472</v>
      </c>
      <c r="V15" s="11" t="s">
        <v>5</v>
      </c>
      <c r="W15" s="12">
        <f>G9</f>
        <v>10660</v>
      </c>
      <c r="X15" s="12">
        <f>G12</f>
        <v>2165</v>
      </c>
    </row>
    <row r="16" spans="2:24" ht="15" customHeight="1" x14ac:dyDescent="0.3">
      <c r="B16" s="11" t="s">
        <v>26</v>
      </c>
      <c r="F16" s="12">
        <f t="shared" ref="F16:T16" si="2">F12-F15</f>
        <v>1826</v>
      </c>
      <c r="G16" s="12">
        <f t="shared" si="2"/>
        <v>1943</v>
      </c>
      <c r="H16" s="12">
        <f t="shared" si="2"/>
        <v>2768</v>
      </c>
      <c r="I16" s="12">
        <f t="shared" si="2"/>
        <v>3231.52</v>
      </c>
      <c r="J16" s="12">
        <f t="shared" si="2"/>
        <v>3769.1000000000004</v>
      </c>
      <c r="K16" s="12">
        <f t="shared" si="2"/>
        <v>4019.3164824000014</v>
      </c>
      <c r="L16" s="12">
        <f t="shared" si="2"/>
        <v>4443.4516128210016</v>
      </c>
      <c r="M16" s="12">
        <f t="shared" si="2"/>
        <v>4870.2568335261767</v>
      </c>
      <c r="N16" s="12">
        <f t="shared" si="2"/>
        <v>5313.5495983736619</v>
      </c>
      <c r="O16" s="12">
        <f t="shared" si="2"/>
        <v>5770.4492644560396</v>
      </c>
      <c r="P16" s="12">
        <f t="shared" si="2"/>
        <v>6237.5922733752814</v>
      </c>
      <c r="Q16" s="12">
        <f t="shared" si="2"/>
        <v>6680.2264363729582</v>
      </c>
      <c r="R16" s="12">
        <f t="shared" si="2"/>
        <v>7087.5229427256545</v>
      </c>
      <c r="S16" s="12">
        <f t="shared" si="2"/>
        <v>7516.0918832198313</v>
      </c>
      <c r="T16" s="12">
        <f t="shared" si="2"/>
        <v>7933.010142383052</v>
      </c>
      <c r="V16" s="11" t="s">
        <v>6</v>
      </c>
      <c r="W16" s="12">
        <f>H9</f>
        <v>11333</v>
      </c>
      <c r="X16" s="12">
        <f>H12</f>
        <v>3057</v>
      </c>
    </row>
    <row r="17" spans="2:24" ht="14.25" customHeight="1" x14ac:dyDescent="0.3">
      <c r="V17" s="11" t="s">
        <v>7</v>
      </c>
      <c r="W17" s="12">
        <f>I9</f>
        <v>13140.31</v>
      </c>
      <c r="X17" s="12">
        <f>I12</f>
        <v>3590</v>
      </c>
    </row>
    <row r="18" spans="2:24" ht="15" customHeight="1" x14ac:dyDescent="0.3">
      <c r="B18" s="11" t="s">
        <v>27</v>
      </c>
      <c r="F18" s="14">
        <f>('RAW FS'!C11-'RAW FS'!C12)/'RAW FS'!C11</f>
        <v>0.24820574162679426</v>
      </c>
      <c r="G18" s="14">
        <f>('RAW FS'!D11-'RAW FS'!D12)/'RAW FS'!D11</f>
        <v>0.26601387188902487</v>
      </c>
      <c r="H18" s="14">
        <f>('RAW FS'!E11-'RAW FS'!E12)/'RAW FS'!E11</f>
        <v>0.14616293279022399</v>
      </c>
      <c r="I18" s="14">
        <f>('RAW FS'!F11-'RAW FS'!F12)/'RAW FS'!F11</f>
        <v>0.26444893187373791</v>
      </c>
      <c r="J18" s="14">
        <f>('RAW FS'!G11-'RAW FS'!G12)/'RAW FS'!G11</f>
        <v>0.26241126207392995</v>
      </c>
      <c r="K18" s="14">
        <f>'Data Sheet'!H35</f>
        <v>0.255</v>
      </c>
      <c r="L18" s="14">
        <f>'Data Sheet'!I35</f>
        <v>0.255</v>
      </c>
      <c r="M18" s="14">
        <f>'Data Sheet'!J35</f>
        <v>0.255</v>
      </c>
      <c r="N18" s="14">
        <f>'Data Sheet'!K35</f>
        <v>0.255</v>
      </c>
      <c r="O18" s="14">
        <f>'Data Sheet'!L35</f>
        <v>0.255</v>
      </c>
      <c r="P18" s="14">
        <f>'Data Sheet'!M35</f>
        <v>0.255</v>
      </c>
      <c r="Q18" s="14">
        <f>'Data Sheet'!N35</f>
        <v>0.255</v>
      </c>
      <c r="R18" s="14">
        <f>'Data Sheet'!O35</f>
        <v>0.255</v>
      </c>
      <c r="S18" s="14">
        <f>'Data Sheet'!P35</f>
        <v>0.255</v>
      </c>
      <c r="T18" s="14">
        <f>'Data Sheet'!Q35</f>
        <v>0.255</v>
      </c>
      <c r="V18" s="11" t="s">
        <v>8</v>
      </c>
      <c r="W18" s="12">
        <f>J9</f>
        <v>14600.83</v>
      </c>
      <c r="X18" s="12">
        <f>J12</f>
        <v>4163.8100000000004</v>
      </c>
    </row>
    <row r="19" spans="2:24" ht="15" customHeight="1" x14ac:dyDescent="0.3">
      <c r="B19" s="11" t="s">
        <v>28</v>
      </c>
      <c r="F19" s="12">
        <f t="shared" ref="F19:T19" si="3">F16*(1-F18)</f>
        <v>1372.7763157894738</v>
      </c>
      <c r="G19" s="12">
        <f t="shared" si="3"/>
        <v>1426.1350469196248</v>
      </c>
      <c r="H19" s="12">
        <f t="shared" si="3"/>
        <v>2363.42100203666</v>
      </c>
      <c r="I19" s="12">
        <f t="shared" si="3"/>
        <v>2376.9479876713781</v>
      </c>
      <c r="J19" s="12">
        <f t="shared" si="3"/>
        <v>2780.0457121171507</v>
      </c>
      <c r="K19" s="12">
        <f t="shared" si="3"/>
        <v>2994.3907793880012</v>
      </c>
      <c r="L19" s="12">
        <f t="shared" si="3"/>
        <v>3310.3714515516463</v>
      </c>
      <c r="M19" s="12">
        <f t="shared" si="3"/>
        <v>3628.3413409770014</v>
      </c>
      <c r="N19" s="12">
        <f t="shared" si="3"/>
        <v>3958.5944507883783</v>
      </c>
      <c r="O19" s="12">
        <f t="shared" si="3"/>
        <v>4298.9847020197494</v>
      </c>
      <c r="P19" s="12">
        <f t="shared" si="3"/>
        <v>4647.0062436645849</v>
      </c>
      <c r="Q19" s="12">
        <f t="shared" si="3"/>
        <v>4976.7686950978541</v>
      </c>
      <c r="R19" s="12">
        <f t="shared" si="3"/>
        <v>5280.2045923306123</v>
      </c>
      <c r="S19" s="12">
        <f t="shared" si="3"/>
        <v>5599.4884529987739</v>
      </c>
      <c r="T19" s="12">
        <f t="shared" si="3"/>
        <v>5910.092556075374</v>
      </c>
      <c r="V19" s="11" t="s">
        <v>9</v>
      </c>
      <c r="W19" s="12">
        <f>K9</f>
        <v>16206.921300000002</v>
      </c>
      <c r="X19" s="12">
        <f>K12</f>
        <v>4456.9033575000012</v>
      </c>
    </row>
    <row r="20" spans="2:24" ht="14.25" customHeight="1" x14ac:dyDescent="0.3">
      <c r="V20" s="11" t="s">
        <v>10</v>
      </c>
      <c r="W20" s="12">
        <f>L9</f>
        <v>17989.682643000004</v>
      </c>
      <c r="X20" s="12">
        <f>L12</f>
        <v>4929.1730441820018</v>
      </c>
    </row>
    <row r="21" spans="2:24" ht="15" customHeight="1" x14ac:dyDescent="0.3">
      <c r="B21" s="11" t="s">
        <v>29</v>
      </c>
      <c r="F21" s="12">
        <f>'RAW FS'!C13</f>
        <v>374.7</v>
      </c>
      <c r="G21" s="12">
        <f>'RAW FS'!D13</f>
        <v>505.4</v>
      </c>
      <c r="H21" s="12">
        <f>'RAW FS'!E13</f>
        <v>558.70000000000005</v>
      </c>
      <c r="I21" s="12">
        <f>'RAW FS'!F13</f>
        <v>452.34</v>
      </c>
      <c r="J21" s="12">
        <f>'RAW FS'!G13</f>
        <v>592.77</v>
      </c>
      <c r="K21" s="12">
        <f>K9*'Data Sheet'!H33</f>
        <v>648.27685200000008</v>
      </c>
      <c r="L21" s="12">
        <f>L9*'Data Sheet'!I33</f>
        <v>719.58730572000013</v>
      </c>
      <c r="M21" s="12">
        <f>M9*'Data Sheet'!J33</f>
        <v>795.1439728206002</v>
      </c>
      <c r="N21" s="12">
        <f>N9*'Data Sheet'!K33</f>
        <v>874.65837010266023</v>
      </c>
      <c r="O21" s="12">
        <f>O9*'Data Sheet'!L33</f>
        <v>957.75091526241306</v>
      </c>
      <c r="P21" s="12">
        <f>P9*'Data Sheet'!M33</f>
        <v>1043.9484976360302</v>
      </c>
      <c r="Q21" s="12">
        <f>Q9*'Data Sheet'!N33</f>
        <v>1127.4643774469127</v>
      </c>
      <c r="R21" s="12">
        <f>R9*'Data Sheet'!O33</f>
        <v>1206.3868838681967</v>
      </c>
      <c r="S21" s="12">
        <f>S9*'Data Sheet'!P33</f>
        <v>1284.8020313196294</v>
      </c>
      <c r="T21" s="12">
        <f>T9*'Data Sheet'!Q33</f>
        <v>1361.8901531988072</v>
      </c>
      <c r="V21" s="11" t="s">
        <v>11</v>
      </c>
      <c r="W21" s="12">
        <f>M9</f>
        <v>19878.599320515004</v>
      </c>
      <c r="X21" s="12">
        <f>M12</f>
        <v>5406.9790151800817</v>
      </c>
    </row>
    <row r="22" spans="2:24" ht="14.25" customHeight="1" x14ac:dyDescent="0.3">
      <c r="V22" s="11" t="s">
        <v>12</v>
      </c>
      <c r="W22" s="12">
        <f>N9</f>
        <v>21866.459252566507</v>
      </c>
      <c r="X22" s="12">
        <f>N12</f>
        <v>5903.9439981929572</v>
      </c>
    </row>
    <row r="23" spans="2:24" ht="15" customHeight="1" x14ac:dyDescent="0.3">
      <c r="B23" s="11" t="s">
        <v>30</v>
      </c>
      <c r="F23" s="12">
        <f>'RAW FS'!C19</f>
        <v>1490.2</v>
      </c>
      <c r="G23" s="12">
        <f>'RAW FS'!D19</f>
        <v>1491.29</v>
      </c>
      <c r="H23" s="12">
        <f>'RAW FS'!E19</f>
        <v>962.69</v>
      </c>
      <c r="I23" s="12">
        <f>'RAW FS'!F19</f>
        <v>1070.79</v>
      </c>
      <c r="J23" s="12">
        <f>'RAW FS'!G19</f>
        <v>1091.31</v>
      </c>
      <c r="K23" s="12">
        <f>K9*'Data Sheet'!H34</f>
        <v>1296.5537040000002</v>
      </c>
      <c r="L23" s="12">
        <f>L9*'Data Sheet'!I34</f>
        <v>1439.1746114400003</v>
      </c>
      <c r="M23" s="12">
        <f>M9*'Data Sheet'!J34</f>
        <v>1590.2879456412004</v>
      </c>
      <c r="N23" s="12">
        <f>N9*'Data Sheet'!K34</f>
        <v>1749.3167402053205</v>
      </c>
      <c r="O23" s="12">
        <f>O9*'Data Sheet'!L34</f>
        <v>1915.5018305248261</v>
      </c>
      <c r="P23" s="12">
        <f>P9*'Data Sheet'!M34</f>
        <v>2087.8969952720604</v>
      </c>
      <c r="Q23" s="12">
        <f>Q9*'Data Sheet'!N34</f>
        <v>2254.9287548938255</v>
      </c>
      <c r="R23" s="12">
        <f>R9*'Data Sheet'!O34</f>
        <v>2412.7737677363934</v>
      </c>
      <c r="S23" s="12">
        <f>S9*'Data Sheet'!P34</f>
        <v>2569.6040626392587</v>
      </c>
      <c r="T23" s="12">
        <f>T9*'Data Sheet'!Q34</f>
        <v>2723.7803063976144</v>
      </c>
      <c r="V23" s="11" t="s">
        <v>13</v>
      </c>
      <c r="W23" s="12">
        <f>O9</f>
        <v>23943.772881560326</v>
      </c>
      <c r="X23" s="12">
        <f>O12</f>
        <v>6416.931132258168</v>
      </c>
    </row>
    <row r="24" spans="2:24" ht="15" customHeight="1" x14ac:dyDescent="0.3">
      <c r="B24" s="11" t="s">
        <v>31</v>
      </c>
      <c r="F24" s="16"/>
      <c r="G24" s="12">
        <f t="shared" ref="G24:T24" si="4">G23-F23</f>
        <v>1.0899999999999181</v>
      </c>
      <c r="H24" s="12">
        <f t="shared" si="4"/>
        <v>-528.59999999999991</v>
      </c>
      <c r="I24" s="12">
        <f t="shared" si="4"/>
        <v>108.09999999999991</v>
      </c>
      <c r="J24" s="12">
        <f t="shared" si="4"/>
        <v>20.519999999999982</v>
      </c>
      <c r="K24" s="12">
        <f t="shared" si="4"/>
        <v>205.24370400000021</v>
      </c>
      <c r="L24" s="12">
        <f t="shared" si="4"/>
        <v>142.62090744000011</v>
      </c>
      <c r="M24" s="12">
        <f t="shared" si="4"/>
        <v>151.11333420120013</v>
      </c>
      <c r="N24" s="12">
        <f t="shared" si="4"/>
        <v>159.02879456412006</v>
      </c>
      <c r="O24" s="12">
        <f t="shared" si="4"/>
        <v>166.18509031950566</v>
      </c>
      <c r="P24" s="12">
        <f t="shared" si="4"/>
        <v>172.39516474723428</v>
      </c>
      <c r="Q24" s="12">
        <f t="shared" si="4"/>
        <v>167.0317596217651</v>
      </c>
      <c r="R24" s="12">
        <f t="shared" si="4"/>
        <v>157.84501284256794</v>
      </c>
      <c r="S24" s="12">
        <f t="shared" si="4"/>
        <v>156.83029490286526</v>
      </c>
      <c r="T24" s="12">
        <f t="shared" si="4"/>
        <v>154.17624375835567</v>
      </c>
      <c r="V24" s="11" t="s">
        <v>14</v>
      </c>
      <c r="W24" s="12">
        <f>P9</f>
        <v>26098.712440900756</v>
      </c>
      <c r="X24" s="12">
        <f>P12</f>
        <v>6942.2575092796014</v>
      </c>
    </row>
    <row r="25" spans="2:24" ht="14.25" customHeight="1" x14ac:dyDescent="0.3">
      <c r="V25" s="11" t="s">
        <v>15</v>
      </c>
      <c r="W25" s="12">
        <f>Q9</f>
        <v>28186.609436172817</v>
      </c>
      <c r="X25" s="12">
        <f>Q12</f>
        <v>7441.2648911496244</v>
      </c>
    </row>
    <row r="26" spans="2:24" ht="15" customHeight="1" x14ac:dyDescent="0.3">
      <c r="B26" s="11" t="s">
        <v>32</v>
      </c>
      <c r="F26" s="16"/>
      <c r="G26" s="16"/>
      <c r="H26" s="16"/>
      <c r="I26" s="16"/>
      <c r="J26" s="16"/>
      <c r="K26" s="12">
        <f t="shared" ref="K26:T26" si="5">K19+K15-K21-K24</f>
        <v>2578.4570984880011</v>
      </c>
      <c r="L26" s="12">
        <f t="shared" si="5"/>
        <v>2933.884669752646</v>
      </c>
      <c r="M26" s="12">
        <f t="shared" si="5"/>
        <v>3218.8062156091064</v>
      </c>
      <c r="N26" s="12">
        <f t="shared" si="5"/>
        <v>3515.3016859408935</v>
      </c>
      <c r="O26" s="12">
        <f t="shared" si="5"/>
        <v>3821.5305642399589</v>
      </c>
      <c r="P26" s="12">
        <f t="shared" si="5"/>
        <v>4135.3278171856409</v>
      </c>
      <c r="Q26" s="12">
        <f t="shared" si="5"/>
        <v>4443.3110128058433</v>
      </c>
      <c r="R26" s="12">
        <f t="shared" si="5"/>
        <v>4730.2838422308814</v>
      </c>
      <c r="S26" s="12">
        <f t="shared" si="5"/>
        <v>5025.0974979170296</v>
      </c>
      <c r="T26" s="12">
        <f t="shared" si="5"/>
        <v>5313.3020125274061</v>
      </c>
      <c r="V26" s="11" t="s">
        <v>16</v>
      </c>
      <c r="W26" s="12">
        <f>R9</f>
        <v>30159.672096704915</v>
      </c>
      <c r="X26" s="12">
        <f>R12</f>
        <v>7901.8340893366876</v>
      </c>
    </row>
    <row r="27" spans="2:24" ht="15" customHeight="1" x14ac:dyDescent="0.3">
      <c r="B27" s="11" t="s">
        <v>33</v>
      </c>
      <c r="F27" s="13"/>
      <c r="G27" s="13"/>
      <c r="H27" s="13"/>
      <c r="I27" s="13"/>
      <c r="J27" s="13"/>
      <c r="K27" s="14">
        <f>1/(1+$N$33)^0.5</f>
        <v>0.94268080069457749</v>
      </c>
      <c r="L27" s="14">
        <f>1/(1+$N$33)^1.5</f>
        <v>0.83771055221974233</v>
      </c>
      <c r="M27" s="14">
        <f>1/(1+$N$33)^2.5</f>
        <v>0.74442904616625494</v>
      </c>
      <c r="N27" s="14">
        <f>1/(1+$N$33)^3.5</f>
        <v>0.6615347070746137</v>
      </c>
      <c r="O27" s="14">
        <f>1/(1+$N$33)^4.5</f>
        <v>0.58787089369771639</v>
      </c>
      <c r="P27" s="14">
        <f>1/(1+$N$33)^5.5</f>
        <v>0.52240976015484075</v>
      </c>
      <c r="Q27" s="14">
        <f>1/(1+$N$33)^6.5</f>
        <v>0.46423791419306054</v>
      </c>
      <c r="R27" s="14">
        <f>1/(1+$N$33)^7.5</f>
        <v>0.41254367244295909</v>
      </c>
      <c r="S27" s="14">
        <f>1/(1+$N$33)^8.5</f>
        <v>0.36660573483868097</v>
      </c>
      <c r="T27" s="14">
        <f>1/(1+$N$33)^9.5</f>
        <v>0.32578312017424604</v>
      </c>
      <c r="V27" s="11" t="s">
        <v>17</v>
      </c>
      <c r="W27" s="12">
        <f>S9</f>
        <v>32120.050782990733</v>
      </c>
      <c r="X27" s="12">
        <f>S12</f>
        <v>8383.3332543605811</v>
      </c>
    </row>
    <row r="28" spans="2:24" ht="15" customHeight="1" x14ac:dyDescent="0.3">
      <c r="B28" s="11" t="s">
        <v>34</v>
      </c>
      <c r="F28" s="16"/>
      <c r="G28" s="16"/>
      <c r="H28" s="16"/>
      <c r="I28" s="16"/>
      <c r="J28" s="16"/>
      <c r="K28" s="12">
        <f t="shared" ref="K28:T28" si="6">K26*K27</f>
        <v>2430.6620021592857</v>
      </c>
      <c r="L28" s="12">
        <f t="shared" si="6"/>
        <v>2457.7461468475253</v>
      </c>
      <c r="M28" s="12">
        <f t="shared" si="6"/>
        <v>2396.1728408798999</v>
      </c>
      <c r="N28" s="12">
        <f t="shared" si="6"/>
        <v>2325.4940710878045</v>
      </c>
      <c r="O28" s="12">
        <f t="shared" si="6"/>
        <v>2246.5665880928832</v>
      </c>
      <c r="P28" s="12">
        <f t="shared" si="6"/>
        <v>2160.3356131375917</v>
      </c>
      <c r="Q28" s="12">
        <f t="shared" si="6"/>
        <v>2062.7534366960399</v>
      </c>
      <c r="R28" s="12">
        <f t="shared" si="6"/>
        <v>1951.4486679715187</v>
      </c>
      <c r="S28" s="12">
        <f t="shared" si="6"/>
        <v>1842.2295608598897</v>
      </c>
      <c r="T28" s="12">
        <f t="shared" si="6"/>
        <v>1730.9841080692793</v>
      </c>
      <c r="V28" s="11" t="s">
        <v>18</v>
      </c>
      <c r="W28" s="12">
        <f>T9</f>
        <v>34047.253829970177</v>
      </c>
      <c r="X28" s="12">
        <f>T12</f>
        <v>8852.2859957922465</v>
      </c>
    </row>
    <row r="31" spans="2:24" ht="15" customHeight="1" x14ac:dyDescent="0.3">
      <c r="B31" s="7" t="s">
        <v>35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3" spans="2:14" ht="15" customHeight="1" x14ac:dyDescent="0.3">
      <c r="B33" s="11" t="s">
        <v>36</v>
      </c>
      <c r="N33" s="14">
        <f>WACC!D39</f>
        <v>0.12530610745762685</v>
      </c>
    </row>
    <row r="34" spans="2:14" ht="15" customHeight="1" x14ac:dyDescent="0.3">
      <c r="B34" s="11" t="s">
        <v>37</v>
      </c>
      <c r="N34" s="14">
        <f>'Data Sheet'!C39</f>
        <v>5.5E-2</v>
      </c>
    </row>
    <row r="35" spans="2:14" ht="15" customHeight="1" x14ac:dyDescent="0.3">
      <c r="B35" s="11" t="s">
        <v>38</v>
      </c>
      <c r="N35" s="12">
        <f>SUM(K28:T28)</f>
        <v>21604.393035801717</v>
      </c>
    </row>
    <row r="36" spans="2:14" ht="15" customHeight="1" x14ac:dyDescent="0.3">
      <c r="B36" s="11" t="s">
        <v>39</v>
      </c>
      <c r="N36" s="12">
        <f>T26</f>
        <v>5313.3020125274061</v>
      </c>
    </row>
    <row r="37" spans="2:14" ht="15" customHeight="1" x14ac:dyDescent="0.3">
      <c r="B37" s="11" t="s">
        <v>40</v>
      </c>
      <c r="N37" s="12">
        <f>N36*(1+N34)/(N33-N34)</f>
        <v>79730.393644603915</v>
      </c>
    </row>
    <row r="38" spans="2:14" ht="15" customHeight="1" x14ac:dyDescent="0.3">
      <c r="B38" s="11" t="s">
        <v>41</v>
      </c>
      <c r="N38" s="12">
        <f>N37*T27</f>
        <v>25974.816414259942</v>
      </c>
    </row>
    <row r="39" spans="2:14" ht="15" customHeight="1" x14ac:dyDescent="0.3">
      <c r="B39" s="17" t="s">
        <v>42</v>
      </c>
      <c r="N39" s="18">
        <f>N35+N38</f>
        <v>47579.209450061659</v>
      </c>
    </row>
    <row r="40" spans="2:14" ht="15" customHeight="1" x14ac:dyDescent="0.3">
      <c r="B40" s="11" t="s">
        <v>43</v>
      </c>
      <c r="N40" s="12">
        <f>'Data Sheet'!C13+'Data Sheet'!C14</f>
        <v>4218.7299999999996</v>
      </c>
    </row>
    <row r="41" spans="2:14" ht="15" customHeight="1" x14ac:dyDescent="0.3">
      <c r="B41" s="11" t="s">
        <v>44</v>
      </c>
      <c r="N41" s="12">
        <f>'Data Sheet'!C12</f>
        <v>105.91</v>
      </c>
    </row>
    <row r="42" spans="2:14" ht="15" customHeight="1" x14ac:dyDescent="0.3">
      <c r="B42" s="17" t="s">
        <v>45</v>
      </c>
      <c r="N42" s="18">
        <f>N39+N40-N41</f>
        <v>51692.029450061658</v>
      </c>
    </row>
    <row r="43" spans="2:14" ht="15" customHeight="1" x14ac:dyDescent="0.3">
      <c r="B43" s="11" t="s">
        <v>46</v>
      </c>
      <c r="N43" s="12">
        <f>'Data Sheet'!C9</f>
        <v>1018.049209</v>
      </c>
    </row>
    <row r="44" spans="2:14" ht="15" customHeight="1" x14ac:dyDescent="0.3">
      <c r="B44" s="17" t="s">
        <v>47</v>
      </c>
      <c r="N44" s="18">
        <f>N42/N43*10</f>
        <v>507.75570564842565</v>
      </c>
    </row>
    <row r="45" spans="2:14" ht="15" customHeight="1" x14ac:dyDescent="0.3">
      <c r="B45" s="11" t="s">
        <v>48</v>
      </c>
      <c r="N45" s="12">
        <f>'Data Sheet'!C8</f>
        <v>1517.2</v>
      </c>
    </row>
    <row r="46" spans="2:14" ht="15" customHeight="1" x14ac:dyDescent="0.3">
      <c r="B46" s="17" t="s">
        <v>49</v>
      </c>
      <c r="N46" s="19">
        <f>N44/N45-1</f>
        <v>-0.66533370310544049</v>
      </c>
    </row>
    <row r="47" spans="2:14" ht="15" customHeight="1" x14ac:dyDescent="0.3">
      <c r="B47" s="20" t="s">
        <v>50</v>
      </c>
      <c r="N47" s="21">
        <f>Comps!D35</f>
        <v>1149.9118045657749</v>
      </c>
    </row>
    <row r="48" spans="2:14" ht="15" customHeight="1" x14ac:dyDescent="0.3">
      <c r="B48" s="20" t="s">
        <v>51</v>
      </c>
      <c r="N48" s="21">
        <f>Comps!D37</f>
        <v>0</v>
      </c>
    </row>
    <row r="49" spans="2:15" ht="15" customHeight="1" x14ac:dyDescent="0.3">
      <c r="B49" s="20" t="s">
        <v>52</v>
      </c>
      <c r="N49" s="22">
        <f>N44/N47-1</f>
        <v>-0.55843943541377739</v>
      </c>
    </row>
    <row r="51" spans="2:15" ht="15" customHeight="1" x14ac:dyDescent="0.3"/>
    <row r="52" spans="2:15" ht="15" customHeight="1" x14ac:dyDescent="0.3">
      <c r="B52" s="7" t="s">
        <v>53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2:15" ht="15" customHeight="1" x14ac:dyDescent="0.3"/>
    <row r="54" spans="2:15" ht="15" customHeight="1" x14ac:dyDescent="0.3">
      <c r="B54" s="11" t="s">
        <v>54</v>
      </c>
      <c r="F54" s="14">
        <f>$N$34-0.01</f>
        <v>4.4999999999999998E-2</v>
      </c>
      <c r="G54" s="14">
        <f>$N$34-0.005</f>
        <v>0.05</v>
      </c>
      <c r="H54" s="14">
        <f>$N$34</f>
        <v>5.5E-2</v>
      </c>
      <c r="I54" s="14">
        <f>$N$34+0.005</f>
        <v>0.06</v>
      </c>
      <c r="J54" s="14">
        <f>$N$34+0.01</f>
        <v>6.5000000000000002E-2</v>
      </c>
    </row>
    <row r="55" spans="2:15" ht="15" customHeight="1" x14ac:dyDescent="0.3">
      <c r="B55" s="14">
        <f>$N$33-0.03</f>
        <v>9.5306107457626854E-2</v>
      </c>
      <c r="F55" s="23">
        <f t="shared" ref="F55:J59" si="7">((($K$26/(1+$B55)^0.5)+($L$26/(1+$B55)^1.5)+($M$26/(1+$B55)^2.5)+($N$26/(1+$B55)^3.5)+($O$26/(1+$B55)^4.5)+($P$26/(1+$B55)^5.5)+($Q$26/(1+$B55)^6.5)+($R$26/(1+$B55)^7.5)+($S$26/(1+$B55)^8.5)+($T$26/(1+$B55)^9.5)+($T$26*(1+F$54)/($B55-F$54))/((1+$B55)^9.5)+$N$40-$N$41)/$N$43*10)</f>
        <v>738.51155707583018</v>
      </c>
      <c r="G55" s="23">
        <f t="shared" si="7"/>
        <v>791.32402247303617</v>
      </c>
      <c r="H55" s="23">
        <f t="shared" si="7"/>
        <v>857.23933225994801</v>
      </c>
      <c r="I55" s="23">
        <f t="shared" si="7"/>
        <v>941.82430419129832</v>
      </c>
      <c r="J55" s="23">
        <f t="shared" si="7"/>
        <v>1054.31948268732</v>
      </c>
    </row>
    <row r="56" spans="2:15" ht="15" customHeight="1" x14ac:dyDescent="0.3">
      <c r="B56" s="14">
        <f>$N$33-0.015</f>
        <v>0.11030610745762685</v>
      </c>
      <c r="F56" s="23">
        <f t="shared" si="7"/>
        <v>575.6061984458255</v>
      </c>
      <c r="G56" s="23">
        <f t="shared" si="7"/>
        <v>602.83242447424652</v>
      </c>
      <c r="H56" s="23">
        <f t="shared" si="7"/>
        <v>634.98147499348511</v>
      </c>
      <c r="I56" s="23">
        <f t="shared" si="7"/>
        <v>673.52121088752017</v>
      </c>
      <c r="J56" s="23">
        <f t="shared" si="7"/>
        <v>720.56746787919747</v>
      </c>
    </row>
    <row r="57" spans="2:15" ht="15" customHeight="1" x14ac:dyDescent="0.3">
      <c r="B57" s="14">
        <f>$N$33</f>
        <v>0.12530610745762685</v>
      </c>
      <c r="F57" s="23">
        <f t="shared" si="7"/>
        <v>473.86712680067967</v>
      </c>
      <c r="G57" s="23">
        <f t="shared" si="7"/>
        <v>489.68638865401948</v>
      </c>
      <c r="H57" s="23">
        <f t="shared" si="7"/>
        <v>507.75570564842553</v>
      </c>
      <c r="I57" s="23">
        <f t="shared" si="7"/>
        <v>528.59188744274798</v>
      </c>
      <c r="J57" s="23">
        <f t="shared" si="7"/>
        <v>552.88313915829917</v>
      </c>
    </row>
    <row r="58" spans="2:15" ht="15" customHeight="1" x14ac:dyDescent="0.3">
      <c r="B58" s="14">
        <f>$N$33+0.015</f>
        <v>0.14030610745762684</v>
      </c>
      <c r="F58" s="23">
        <f t="shared" si="7"/>
        <v>404.38761926977054</v>
      </c>
      <c r="G58" s="23">
        <f t="shared" si="7"/>
        <v>414.31982146743474</v>
      </c>
      <c r="H58" s="23">
        <f t="shared" si="7"/>
        <v>425.41632508426733</v>
      </c>
      <c r="I58" s="23">
        <f t="shared" si="7"/>
        <v>437.89460450472569</v>
      </c>
      <c r="J58" s="23">
        <f t="shared" si="7"/>
        <v>452.0298915493637</v>
      </c>
    </row>
    <row r="59" spans="2:15" ht="15" customHeight="1" x14ac:dyDescent="0.3">
      <c r="B59" s="14">
        <f>$N$33+0.03</f>
        <v>0.15530610745762685</v>
      </c>
      <c r="F59" s="23">
        <f t="shared" si="7"/>
        <v>353.98711869958549</v>
      </c>
      <c r="G59" s="23">
        <f t="shared" si="7"/>
        <v>360.57260011386057</v>
      </c>
      <c r="H59" s="23">
        <f t="shared" si="7"/>
        <v>367.81461995647169</v>
      </c>
      <c r="I59" s="23">
        <f t="shared" si="7"/>
        <v>375.81650923828244</v>
      </c>
      <c r="J59" s="23">
        <f t="shared" si="7"/>
        <v>384.70448358201031</v>
      </c>
    </row>
    <row r="60" spans="2:15" ht="15" customHeight="1" x14ac:dyDescent="0.3"/>
    <row r="61" spans="2:15" ht="15" customHeight="1" x14ac:dyDescent="0.3"/>
    <row r="62" spans="2:15" ht="15" customHeight="1" x14ac:dyDescent="0.3">
      <c r="B62" s="11" t="s">
        <v>55</v>
      </c>
      <c r="N62" s="14">
        <f>((('Data Sheet'!C8*'Data Sheet'!C9/10-'Data Sheet'!C13-'Data Sheet'!C14+'Data Sheet'!C12)-SUM(K28:T28))*WACC!D39-T26)/(((('Data Sheet'!C8*'Data Sheet'!C9/10-'Data Sheet'!C13-'Data Sheet'!C14+'Data Sheet'!C12)-SUM(K28:T28))+T26))</f>
        <v>8.0704169156844668E-2</v>
      </c>
    </row>
    <row r="63" spans="2:15" ht="15" customHeight="1" x14ac:dyDescent="0.3">
      <c r="B63" s="6" t="s">
        <v>56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3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</sheetData>
  <mergeCells count="5">
    <mergeCell ref="B2:S2"/>
    <mergeCell ref="B6:T6"/>
    <mergeCell ref="B31:O31"/>
    <mergeCell ref="B52:O52"/>
    <mergeCell ref="B63:N64"/>
  </mergeCells>
  <conditionalFormatting sqref="F52:J56">
    <cfRule type="colorScale" priority="2">
      <colorScale>
        <cfvo type="min"/>
        <cfvo type="percentile" val="50"/>
        <cfvo type="max"/>
        <color rgb="FFF4CCCC"/>
        <color rgb="FFFFF2CC"/>
        <color rgb="FFE8F5EF"/>
      </colorScale>
    </cfRule>
  </conditionalFormatting>
  <pageMargins left="0.25" right="0.25" top="0.5" bottom="0.5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  <pageSetUpPr fitToPage="1"/>
  </sheetPr>
  <dimension ref="B2:G3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8" customWidth="1"/>
    <col min="3" max="7" width="14" customWidth="1"/>
  </cols>
  <sheetData>
    <row r="2" spans="2:7" ht="24" customHeight="1" x14ac:dyDescent="0.3">
      <c r="B2" s="8" t="s">
        <v>57</v>
      </c>
      <c r="C2" s="8"/>
      <c r="D2" s="8"/>
      <c r="E2" s="8"/>
      <c r="F2" s="8"/>
      <c r="G2" s="8"/>
    </row>
    <row r="4" spans="2:7" ht="15" customHeight="1" x14ac:dyDescent="0.3">
      <c r="B4" s="9" t="s">
        <v>58</v>
      </c>
    </row>
    <row r="6" spans="2:7" ht="15" customHeight="1" x14ac:dyDescent="0.3">
      <c r="B6" s="10" t="s">
        <v>59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</row>
    <row r="7" spans="2:7" ht="15" customHeight="1" x14ac:dyDescent="0.3">
      <c r="B7" s="11" t="s">
        <v>60</v>
      </c>
      <c r="C7" s="24">
        <v>8917</v>
      </c>
      <c r="D7" s="24">
        <v>10660</v>
      </c>
      <c r="E7" s="24">
        <v>11333</v>
      </c>
      <c r="F7" s="24">
        <v>13140.31</v>
      </c>
      <c r="G7" s="24">
        <v>14600.83</v>
      </c>
    </row>
    <row r="8" spans="2:7" ht="15" customHeight="1" x14ac:dyDescent="0.3">
      <c r="B8" s="11" t="s">
        <v>22</v>
      </c>
      <c r="C8" s="24">
        <v>2020</v>
      </c>
      <c r="D8" s="24">
        <v>2165</v>
      </c>
      <c r="E8" s="24">
        <v>3057</v>
      </c>
      <c r="F8" s="24">
        <v>3590</v>
      </c>
      <c r="G8" s="24">
        <v>4163.8100000000004</v>
      </c>
    </row>
    <row r="9" spans="2:7" ht="15" customHeight="1" x14ac:dyDescent="0.3">
      <c r="B9" s="11" t="s">
        <v>61</v>
      </c>
      <c r="C9" s="24">
        <v>194</v>
      </c>
      <c r="D9" s="24">
        <v>222</v>
      </c>
      <c r="E9" s="24">
        <v>289</v>
      </c>
      <c r="F9" s="24">
        <v>358.48</v>
      </c>
      <c r="G9" s="24">
        <v>394.71</v>
      </c>
    </row>
    <row r="10" spans="2:7" ht="15" customHeight="1" x14ac:dyDescent="0.3">
      <c r="B10" s="11" t="s">
        <v>26</v>
      </c>
      <c r="C10" s="24">
        <v>1826</v>
      </c>
      <c r="D10" s="24">
        <v>1943</v>
      </c>
      <c r="E10" s="24">
        <v>2768</v>
      </c>
      <c r="F10" s="24">
        <v>3231.52</v>
      </c>
      <c r="G10" s="24">
        <v>3769.1</v>
      </c>
    </row>
    <row r="11" spans="2:7" ht="15" customHeight="1" x14ac:dyDescent="0.3">
      <c r="B11" s="11" t="s">
        <v>62</v>
      </c>
      <c r="C11" s="24">
        <v>1672</v>
      </c>
      <c r="D11" s="24">
        <v>2451</v>
      </c>
      <c r="E11" s="24">
        <v>2455</v>
      </c>
      <c r="F11" s="24">
        <v>2822.7</v>
      </c>
      <c r="G11" s="24">
        <v>3320.17</v>
      </c>
    </row>
    <row r="12" spans="2:7" ht="15" customHeight="1" x14ac:dyDescent="0.3">
      <c r="B12" s="11" t="s">
        <v>63</v>
      </c>
      <c r="C12" s="24">
        <v>1257</v>
      </c>
      <c r="D12" s="24">
        <v>1799</v>
      </c>
      <c r="E12" s="24">
        <v>2096.17</v>
      </c>
      <c r="F12" s="24">
        <v>2076.2399999999998</v>
      </c>
      <c r="G12" s="24">
        <v>2448.92</v>
      </c>
    </row>
    <row r="13" spans="2:7" ht="15" customHeight="1" x14ac:dyDescent="0.3">
      <c r="B13" s="11" t="s">
        <v>64</v>
      </c>
      <c r="C13" s="24">
        <v>374.7</v>
      </c>
      <c r="D13" s="24">
        <v>505.4</v>
      </c>
      <c r="E13" s="24">
        <v>558.70000000000005</v>
      </c>
      <c r="F13" s="24">
        <v>452.34</v>
      </c>
      <c r="G13" s="24">
        <v>592.77</v>
      </c>
    </row>
    <row r="14" spans="2:7" ht="15" customHeight="1" x14ac:dyDescent="0.3">
      <c r="B14" s="11" t="s">
        <v>65</v>
      </c>
      <c r="C14" s="24">
        <v>1695.09</v>
      </c>
      <c r="D14" s="24">
        <v>1817.08</v>
      </c>
      <c r="E14" s="24">
        <v>1414.9</v>
      </c>
      <c r="F14" s="24">
        <v>1685.09</v>
      </c>
      <c r="G14" s="24">
        <v>1737.6</v>
      </c>
    </row>
    <row r="15" spans="2:7" ht="15" customHeight="1" x14ac:dyDescent="0.3">
      <c r="B15" s="11" t="s">
        <v>66</v>
      </c>
      <c r="C15" s="24">
        <v>1430.54</v>
      </c>
      <c r="D15" s="24">
        <v>1535.27</v>
      </c>
      <c r="E15" s="24">
        <v>1674.69</v>
      </c>
      <c r="F15" s="24">
        <v>1811.15</v>
      </c>
      <c r="G15" s="24">
        <v>2181.1</v>
      </c>
    </row>
    <row r="16" spans="2:7" ht="15" customHeight="1" x14ac:dyDescent="0.3">
      <c r="B16" s="11" t="s">
        <v>67</v>
      </c>
      <c r="C16" s="24">
        <v>361.29</v>
      </c>
      <c r="D16" s="24">
        <v>351.32</v>
      </c>
      <c r="E16" s="24">
        <v>343.37</v>
      </c>
      <c r="F16" s="24">
        <v>467.58</v>
      </c>
      <c r="G16" s="24">
        <v>394.45</v>
      </c>
    </row>
    <row r="17" spans="2:7" ht="15" customHeight="1" x14ac:dyDescent="0.3">
      <c r="B17" s="11" t="s">
        <v>68</v>
      </c>
      <c r="C17" s="24">
        <v>1049.29</v>
      </c>
      <c r="D17" s="24">
        <v>1063.5899999999999</v>
      </c>
      <c r="E17" s="24">
        <v>1147.5999999999999</v>
      </c>
      <c r="F17" s="24">
        <v>1390.05</v>
      </c>
      <c r="G17" s="24">
        <v>1536.63</v>
      </c>
    </row>
    <row r="18" spans="2:7" ht="15" customHeight="1" x14ac:dyDescent="0.3">
      <c r="B18" s="11" t="s">
        <v>69</v>
      </c>
      <c r="C18" s="24">
        <v>947.43</v>
      </c>
      <c r="D18" s="24">
        <v>1148.79</v>
      </c>
      <c r="E18" s="24">
        <v>1322.67</v>
      </c>
      <c r="F18" s="24">
        <v>1502.98</v>
      </c>
      <c r="G18" s="24">
        <v>1685.21</v>
      </c>
    </row>
    <row r="19" spans="2:7" ht="15" customHeight="1" x14ac:dyDescent="0.3">
      <c r="B19" s="11" t="s">
        <v>30</v>
      </c>
      <c r="C19" s="24">
        <v>1490.2</v>
      </c>
      <c r="D19" s="24">
        <v>1491.29</v>
      </c>
      <c r="E19" s="24">
        <v>962.69</v>
      </c>
      <c r="F19" s="24">
        <v>1070.79</v>
      </c>
      <c r="G19" s="24">
        <v>1091.31</v>
      </c>
    </row>
    <row r="20" spans="2:7" ht="15" customHeight="1" x14ac:dyDescent="0.3">
      <c r="B20" s="11" t="s">
        <v>70</v>
      </c>
      <c r="C20" s="24">
        <v>355.17</v>
      </c>
      <c r="D20" s="24">
        <v>326.64999999999998</v>
      </c>
      <c r="E20" s="24">
        <v>533.29</v>
      </c>
      <c r="F20" s="24">
        <v>336.21</v>
      </c>
      <c r="G20" s="24">
        <v>298.89999999999998</v>
      </c>
    </row>
    <row r="21" spans="2:7" ht="15" customHeight="1" x14ac:dyDescent="0.3">
      <c r="B21" s="11" t="s">
        <v>71</v>
      </c>
      <c r="C21" s="24">
        <v>173.52</v>
      </c>
      <c r="D21" s="24">
        <v>531.20000000000005</v>
      </c>
      <c r="E21" s="24">
        <v>1870.16</v>
      </c>
      <c r="F21" s="24">
        <v>3161.96</v>
      </c>
      <c r="G21" s="24">
        <v>3919.83</v>
      </c>
    </row>
    <row r="22" spans="2:7" ht="15" customHeight="1" x14ac:dyDescent="0.3">
      <c r="B22" s="11" t="s">
        <v>72</v>
      </c>
      <c r="C22" s="24">
        <v>285.62</v>
      </c>
      <c r="D22" s="24">
        <v>163.26</v>
      </c>
      <c r="E22" s="24">
        <v>131.15</v>
      </c>
      <c r="F22" s="24">
        <v>147.18</v>
      </c>
      <c r="G22" s="24">
        <v>105.91</v>
      </c>
    </row>
    <row r="23" spans="2:7" ht="15" customHeight="1" x14ac:dyDescent="0.3">
      <c r="B23" s="11" t="s">
        <v>73</v>
      </c>
      <c r="C23" s="24">
        <v>6403.71</v>
      </c>
      <c r="D23" s="24">
        <v>7212.28</v>
      </c>
      <c r="E23" s="24">
        <v>8407.16</v>
      </c>
      <c r="F23" s="24">
        <v>9754.4599999999991</v>
      </c>
      <c r="G23" s="24">
        <v>10832.17</v>
      </c>
    </row>
    <row r="24" spans="2:7" ht="15" customHeight="1" x14ac:dyDescent="0.3">
      <c r="B24" s="11" t="s">
        <v>20</v>
      </c>
      <c r="C24" s="13"/>
      <c r="D24" s="14">
        <f>D7/C7-1</f>
        <v>0.19546932824941132</v>
      </c>
      <c r="E24" s="14">
        <f>E7/D7-1</f>
        <v>6.3133208255159445E-2</v>
      </c>
      <c r="F24" s="14">
        <f>F7/E7-1</f>
        <v>0.15947321980058238</v>
      </c>
      <c r="G24" s="14">
        <f>G7/F7-1</f>
        <v>0.11114806271693745</v>
      </c>
    </row>
    <row r="25" spans="2:7" ht="15" customHeight="1" x14ac:dyDescent="0.3">
      <c r="B25" s="11" t="s">
        <v>23</v>
      </c>
      <c r="C25" s="14">
        <f>C8/C7</f>
        <v>0.22653358752943814</v>
      </c>
      <c r="D25" s="14">
        <f>D8/D7</f>
        <v>0.20309568480300189</v>
      </c>
      <c r="E25" s="14">
        <f>E8/E7</f>
        <v>0.26974322774199239</v>
      </c>
      <c r="F25" s="14">
        <f>F8/F7</f>
        <v>0.27320512225358456</v>
      </c>
      <c r="G25" s="14">
        <f>G8/G7</f>
        <v>0.28517625367872923</v>
      </c>
    </row>
    <row r="26" spans="2:7" ht="15" customHeight="1" x14ac:dyDescent="0.3">
      <c r="B26" s="11" t="s">
        <v>74</v>
      </c>
      <c r="C26" s="14">
        <f>C10/C7</f>
        <v>0.2047773914993832</v>
      </c>
      <c r="D26" s="14">
        <f>D10/D7</f>
        <v>0.18227016885553471</v>
      </c>
      <c r="E26" s="14">
        <f>E10/E7</f>
        <v>0.24424247771993293</v>
      </c>
      <c r="F26" s="14">
        <f>F10/F7</f>
        <v>0.24592418291501494</v>
      </c>
      <c r="G26" s="14">
        <f>G10/G7</f>
        <v>0.25814285900185124</v>
      </c>
    </row>
    <row r="27" spans="2:7" ht="15" customHeight="1" x14ac:dyDescent="0.3">
      <c r="B27" s="11" t="s">
        <v>75</v>
      </c>
      <c r="C27" s="14">
        <f>C19/C7</f>
        <v>0.16711898620612314</v>
      </c>
      <c r="D27" s="14">
        <f>D19/D7</f>
        <v>0.13989587242026266</v>
      </c>
      <c r="E27" s="14">
        <f>E19/E7</f>
        <v>8.4945733698049947E-2</v>
      </c>
      <c r="F27" s="14">
        <f>F19/F7</f>
        <v>8.1488945085770426E-2</v>
      </c>
      <c r="G27" s="14">
        <f>G19/G7</f>
        <v>7.4743011184980571E-2</v>
      </c>
    </row>
    <row r="29" spans="2:7" ht="15" customHeight="1" x14ac:dyDescent="0.3">
      <c r="B29" s="17" t="s">
        <v>76</v>
      </c>
    </row>
    <row r="30" spans="2:7" ht="15" customHeight="1" x14ac:dyDescent="0.3">
      <c r="B30" s="5" t="s">
        <v>77</v>
      </c>
      <c r="C30" s="5"/>
      <c r="D30" s="5"/>
      <c r="E30" s="5"/>
      <c r="F30" s="5"/>
      <c r="G30" s="5"/>
    </row>
    <row r="31" spans="2:7" ht="15" customHeight="1" x14ac:dyDescent="0.3">
      <c r="B31" s="5"/>
      <c r="C31" s="5"/>
      <c r="D31" s="5"/>
      <c r="E31" s="5"/>
      <c r="F31" s="5"/>
      <c r="G31" s="5"/>
    </row>
    <row r="32" spans="2:7" ht="15" customHeight="1" x14ac:dyDescent="0.3">
      <c r="B32" s="5"/>
      <c r="C32" s="5"/>
      <c r="D32" s="5"/>
      <c r="E32" s="5"/>
      <c r="F32" s="5"/>
      <c r="G32" s="5"/>
    </row>
    <row r="33" spans="2:7" ht="15" customHeight="1" x14ac:dyDescent="0.3">
      <c r="B33" s="5"/>
      <c r="C33" s="5"/>
      <c r="D33" s="5"/>
      <c r="E33" s="5"/>
      <c r="F33" s="5"/>
      <c r="G33" s="5"/>
    </row>
  </sheetData>
  <mergeCells count="2">
    <mergeCell ref="B2:G2"/>
    <mergeCell ref="B30:G33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  <pageSetUpPr fitToPage="1"/>
  </sheetPr>
  <dimension ref="B2:Q4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40" customWidth="1"/>
    <col min="3" max="3" width="16" customWidth="1"/>
    <col min="4" max="10" width="15" customWidth="1"/>
    <col min="11" max="17" width="9" customWidth="1"/>
  </cols>
  <sheetData>
    <row r="2" spans="2:10" ht="24" customHeight="1" x14ac:dyDescent="0.3">
      <c r="B2" s="8" t="s">
        <v>78</v>
      </c>
      <c r="C2" s="8"/>
      <c r="D2" s="8"/>
      <c r="E2" s="8"/>
      <c r="F2" s="8"/>
      <c r="G2" s="8"/>
      <c r="H2" s="8"/>
      <c r="I2" s="8"/>
      <c r="J2" s="8"/>
    </row>
    <row r="4" spans="2:10" ht="15" customHeight="1" x14ac:dyDescent="0.3">
      <c r="B4" s="9" t="s">
        <v>79</v>
      </c>
    </row>
    <row r="6" spans="2:10" ht="15" customHeight="1" x14ac:dyDescent="0.3">
      <c r="B6" s="7" t="s">
        <v>80</v>
      </c>
      <c r="C6" s="7"/>
      <c r="D6" s="7"/>
      <c r="E6" s="7"/>
    </row>
    <row r="7" spans="2:10" ht="15" customHeight="1" x14ac:dyDescent="0.3">
      <c r="B7" s="11" t="s">
        <v>81</v>
      </c>
      <c r="C7" s="12" t="s">
        <v>82</v>
      </c>
    </row>
    <row r="8" spans="2:10" ht="15" customHeight="1" x14ac:dyDescent="0.3">
      <c r="B8" s="11" t="s">
        <v>48</v>
      </c>
      <c r="C8" s="25">
        <v>1517.2</v>
      </c>
    </row>
    <row r="9" spans="2:10" ht="15" customHeight="1" x14ac:dyDescent="0.3">
      <c r="B9" s="11" t="s">
        <v>46</v>
      </c>
      <c r="C9" s="24">
        <v>1018.049209</v>
      </c>
    </row>
    <row r="10" spans="2:10" ht="15" customHeight="1" x14ac:dyDescent="0.3">
      <c r="B10" s="11" t="s">
        <v>83</v>
      </c>
      <c r="C10" s="12">
        <f>C8*C9/10</f>
        <v>154458.42598948002</v>
      </c>
    </row>
    <row r="11" spans="2:10" ht="15" customHeight="1" x14ac:dyDescent="0.3">
      <c r="B11" s="11" t="s">
        <v>84</v>
      </c>
      <c r="C11" s="24">
        <v>1</v>
      </c>
    </row>
    <row r="12" spans="2:10" ht="15" customHeight="1" x14ac:dyDescent="0.3">
      <c r="B12" s="11" t="s">
        <v>85</v>
      </c>
      <c r="C12" s="24">
        <v>105.91</v>
      </c>
    </row>
    <row r="13" spans="2:10" ht="15" customHeight="1" x14ac:dyDescent="0.3">
      <c r="B13" s="11" t="s">
        <v>86</v>
      </c>
      <c r="C13" s="24">
        <v>298.89999999999998</v>
      </c>
    </row>
    <row r="14" spans="2:10" ht="15" customHeight="1" x14ac:dyDescent="0.3">
      <c r="B14" s="11" t="s">
        <v>87</v>
      </c>
      <c r="C14" s="24">
        <v>3919.83</v>
      </c>
    </row>
    <row r="15" spans="2:10" ht="15" customHeight="1" x14ac:dyDescent="0.3">
      <c r="B15" s="11" t="s">
        <v>88</v>
      </c>
      <c r="C15" s="12">
        <f>C12-C13-C14</f>
        <v>-4112.82</v>
      </c>
    </row>
    <row r="18" spans="2:17" ht="15" customHeight="1" x14ac:dyDescent="0.3">
      <c r="B18" s="7" t="s">
        <v>89</v>
      </c>
      <c r="C18" s="7"/>
      <c r="D18" s="7"/>
      <c r="E18" s="7"/>
      <c r="F18" s="7"/>
      <c r="G18" s="7"/>
      <c r="H18" s="7"/>
      <c r="I18" s="7"/>
      <c r="J18" s="7"/>
    </row>
    <row r="19" spans="2:17" ht="15" customHeight="1" x14ac:dyDescent="0.3">
      <c r="B19" s="10" t="s">
        <v>90</v>
      </c>
      <c r="C19" s="10" t="s">
        <v>4</v>
      </c>
      <c r="D19" s="10" t="s">
        <v>5</v>
      </c>
      <c r="E19" s="10" t="s">
        <v>6</v>
      </c>
      <c r="F19" s="10" t="s">
        <v>7</v>
      </c>
      <c r="G19" s="10" t="s">
        <v>8</v>
      </c>
      <c r="H19" s="10" t="s">
        <v>91</v>
      </c>
      <c r="I19" s="10" t="s">
        <v>92</v>
      </c>
      <c r="J19" s="10" t="s">
        <v>93</v>
      </c>
      <c r="K19" s="11" t="s">
        <v>94</v>
      </c>
      <c r="L19" s="11" t="s">
        <v>95</v>
      </c>
    </row>
    <row r="20" spans="2:17" ht="15" customHeight="1" x14ac:dyDescent="0.3">
      <c r="B20" s="11" t="s">
        <v>19</v>
      </c>
      <c r="C20" s="12">
        <f>'RAW FS'!C7</f>
        <v>8917</v>
      </c>
      <c r="D20" s="12">
        <f>'RAW FS'!D7</f>
        <v>10660</v>
      </c>
      <c r="E20" s="12">
        <f>'RAW FS'!E7</f>
        <v>11333</v>
      </c>
      <c r="F20" s="12">
        <f>'RAW FS'!F7</f>
        <v>13140.31</v>
      </c>
      <c r="G20" s="12">
        <f>'RAW FS'!G7</f>
        <v>14600.83</v>
      </c>
    </row>
    <row r="21" spans="2:17" ht="15" customHeight="1" x14ac:dyDescent="0.3">
      <c r="B21" s="11" t="s">
        <v>20</v>
      </c>
      <c r="C21" s="13"/>
      <c r="D21" s="14">
        <f>D20/C20-1</f>
        <v>0.19546932824941132</v>
      </c>
      <c r="E21" s="14">
        <f>E20/D20-1</f>
        <v>6.3133208255159445E-2</v>
      </c>
      <c r="F21" s="14">
        <f>F20/E20-1</f>
        <v>0.15947321980058238</v>
      </c>
      <c r="G21" s="14">
        <f>G20/F20-1</f>
        <v>0.11114806271693745</v>
      </c>
    </row>
    <row r="22" spans="2:17" ht="15" customHeight="1" x14ac:dyDescent="0.3">
      <c r="B22" s="11" t="s">
        <v>22</v>
      </c>
      <c r="C22" s="12">
        <f>'RAW FS'!C8</f>
        <v>2020</v>
      </c>
      <c r="D22" s="12">
        <f>'RAW FS'!D8</f>
        <v>2165</v>
      </c>
      <c r="E22" s="12">
        <f>'RAW FS'!E8</f>
        <v>3057</v>
      </c>
      <c r="F22" s="12">
        <f>'RAW FS'!F8</f>
        <v>3590</v>
      </c>
      <c r="G22" s="12">
        <f>'RAW FS'!G8</f>
        <v>4163.8100000000004</v>
      </c>
    </row>
    <row r="23" spans="2:17" ht="15" customHeight="1" x14ac:dyDescent="0.3">
      <c r="B23" s="11" t="s">
        <v>23</v>
      </c>
      <c r="C23" s="14">
        <f>C22/C20</f>
        <v>0.22653358752943814</v>
      </c>
      <c r="D23" s="14">
        <f>D22/D20</f>
        <v>0.20309568480300189</v>
      </c>
      <c r="E23" s="14">
        <f>E22/E20</f>
        <v>0.26974322774199239</v>
      </c>
      <c r="F23" s="14">
        <f>F22/F20</f>
        <v>0.27320512225358456</v>
      </c>
      <c r="G23" s="14">
        <f>G22/G20</f>
        <v>0.28517625367872923</v>
      </c>
    </row>
    <row r="24" spans="2:17" ht="15" customHeight="1" x14ac:dyDescent="0.3">
      <c r="B24" s="11" t="s">
        <v>25</v>
      </c>
      <c r="C24" s="12">
        <f>'RAW FS'!C9</f>
        <v>194</v>
      </c>
      <c r="D24" s="12">
        <f>'RAW FS'!D9</f>
        <v>222</v>
      </c>
      <c r="E24" s="12">
        <f>'RAW FS'!E9</f>
        <v>289</v>
      </c>
      <c r="F24" s="12">
        <f>'RAW FS'!F9</f>
        <v>358.48</v>
      </c>
      <c r="G24" s="12">
        <f>'RAW FS'!G9</f>
        <v>394.71</v>
      </c>
    </row>
    <row r="25" spans="2:17" ht="15" customHeight="1" x14ac:dyDescent="0.3">
      <c r="B25" s="11" t="s">
        <v>29</v>
      </c>
      <c r="C25" s="12">
        <f>'RAW FS'!C13</f>
        <v>374.7</v>
      </c>
      <c r="D25" s="12">
        <f>'RAW FS'!D13</f>
        <v>505.4</v>
      </c>
      <c r="E25" s="12">
        <f>'RAW FS'!E13</f>
        <v>558.70000000000005</v>
      </c>
      <c r="F25" s="12">
        <f>'RAW FS'!F13</f>
        <v>452.34</v>
      </c>
      <c r="G25" s="12">
        <f>'RAW FS'!G13</f>
        <v>592.77</v>
      </c>
    </row>
    <row r="26" spans="2:17" ht="15" customHeight="1" x14ac:dyDescent="0.3">
      <c r="B26" s="11" t="s">
        <v>96</v>
      </c>
      <c r="C26" s="12">
        <f>'RAW FS'!C19</f>
        <v>1490.2</v>
      </c>
      <c r="D26" s="12">
        <f>'RAW FS'!D19</f>
        <v>1491.29</v>
      </c>
      <c r="E26" s="12">
        <f>'RAW FS'!E19</f>
        <v>962.69</v>
      </c>
      <c r="F26" s="12">
        <f>'RAW FS'!F19</f>
        <v>1070.79</v>
      </c>
      <c r="G26" s="12">
        <f>'RAW FS'!G19</f>
        <v>1091.31</v>
      </c>
    </row>
    <row r="27" spans="2:17" ht="15" customHeight="1" x14ac:dyDescent="0.3">
      <c r="B27" s="11" t="s">
        <v>75</v>
      </c>
      <c r="C27" s="14">
        <f>C26/C20</f>
        <v>0.16711898620612314</v>
      </c>
      <c r="D27" s="14">
        <f>D26/D20</f>
        <v>0.13989587242026266</v>
      </c>
      <c r="E27" s="14">
        <f>E26/E20</f>
        <v>8.4945733698049947E-2</v>
      </c>
      <c r="F27" s="14">
        <f>F26/F20</f>
        <v>8.1488945085770426E-2</v>
      </c>
      <c r="G27" s="14">
        <f>G26/G20</f>
        <v>7.4743011184980571E-2</v>
      </c>
    </row>
    <row r="29" spans="2:17" ht="14.25" customHeight="1" x14ac:dyDescent="0.3">
      <c r="H29" s="26" t="s">
        <v>91</v>
      </c>
      <c r="I29" s="26" t="s">
        <v>92</v>
      </c>
      <c r="J29" s="26" t="s">
        <v>93</v>
      </c>
      <c r="K29" s="26" t="s">
        <v>94</v>
      </c>
      <c r="L29" s="26" t="s">
        <v>95</v>
      </c>
      <c r="M29" s="26" t="s">
        <v>97</v>
      </c>
      <c r="N29" s="26" t="s">
        <v>98</v>
      </c>
      <c r="O29" s="26" t="s">
        <v>99</v>
      </c>
      <c r="P29" s="26" t="s">
        <v>100</v>
      </c>
      <c r="Q29" s="26" t="s">
        <v>101</v>
      </c>
    </row>
    <row r="30" spans="2:17" ht="15" customHeight="1" x14ac:dyDescent="0.3">
      <c r="B30" s="17" t="s">
        <v>20</v>
      </c>
      <c r="H30" s="27">
        <v>0.11</v>
      </c>
      <c r="I30" s="27">
        <v>0.11</v>
      </c>
      <c r="J30" s="27">
        <v>0.105</v>
      </c>
      <c r="K30" s="27">
        <v>0.1</v>
      </c>
      <c r="L30" s="27">
        <v>9.5000000000000001E-2</v>
      </c>
      <c r="M30" s="27">
        <v>0.09</v>
      </c>
      <c r="N30" s="27">
        <v>0.08</v>
      </c>
      <c r="O30" s="27">
        <v>7.0000000000000007E-2</v>
      </c>
      <c r="P30" s="27">
        <v>6.5000000000000002E-2</v>
      </c>
      <c r="Q30" s="27">
        <v>0.06</v>
      </c>
    </row>
    <row r="31" spans="2:17" ht="15" customHeight="1" x14ac:dyDescent="0.3">
      <c r="B31" s="17" t="s">
        <v>23</v>
      </c>
      <c r="H31" s="27">
        <v>0.27500000000000002</v>
      </c>
      <c r="I31" s="27">
        <v>0.27400000000000002</v>
      </c>
      <c r="J31" s="27">
        <v>0.27200000000000002</v>
      </c>
      <c r="K31" s="27">
        <v>0.27</v>
      </c>
      <c r="L31" s="27">
        <v>0.26800000000000002</v>
      </c>
      <c r="M31" s="27">
        <v>0.26600000000000001</v>
      </c>
      <c r="N31" s="27">
        <v>0.26400000000000001</v>
      </c>
      <c r="O31" s="27">
        <v>0.26200000000000001</v>
      </c>
      <c r="P31" s="27">
        <v>0.26100000000000001</v>
      </c>
      <c r="Q31" s="27">
        <v>0.26</v>
      </c>
    </row>
    <row r="32" spans="2:17" ht="15" customHeight="1" x14ac:dyDescent="0.3">
      <c r="B32" s="17" t="s">
        <v>102</v>
      </c>
      <c r="H32" s="27">
        <v>2.7E-2</v>
      </c>
      <c r="I32" s="27">
        <v>2.7E-2</v>
      </c>
      <c r="J32" s="27">
        <v>2.7E-2</v>
      </c>
      <c r="K32" s="27">
        <v>2.7E-2</v>
      </c>
      <c r="L32" s="27">
        <v>2.7E-2</v>
      </c>
      <c r="M32" s="27">
        <v>2.7E-2</v>
      </c>
      <c r="N32" s="27">
        <v>2.7E-2</v>
      </c>
      <c r="O32" s="27">
        <v>2.7E-2</v>
      </c>
      <c r="P32" s="27">
        <v>2.7E-2</v>
      </c>
      <c r="Q32" s="27">
        <v>2.7E-2</v>
      </c>
    </row>
    <row r="33" spans="2:17" ht="15" customHeight="1" x14ac:dyDescent="0.3">
      <c r="B33" s="17" t="s">
        <v>103</v>
      </c>
      <c r="H33" s="27">
        <v>0.04</v>
      </c>
      <c r="I33" s="27">
        <v>0.04</v>
      </c>
      <c r="J33" s="27">
        <v>0.04</v>
      </c>
      <c r="K33" s="27">
        <v>0.04</v>
      </c>
      <c r="L33" s="27">
        <v>0.04</v>
      </c>
      <c r="M33" s="27">
        <v>0.04</v>
      </c>
      <c r="N33" s="27">
        <v>0.04</v>
      </c>
      <c r="O33" s="27">
        <v>0.04</v>
      </c>
      <c r="P33" s="27">
        <v>0.04</v>
      </c>
      <c r="Q33" s="27">
        <v>0.04</v>
      </c>
    </row>
    <row r="34" spans="2:17" ht="15" customHeight="1" x14ac:dyDescent="0.3">
      <c r="B34" s="17" t="s">
        <v>75</v>
      </c>
      <c r="H34" s="27">
        <v>0.08</v>
      </c>
      <c r="I34" s="27">
        <v>0.08</v>
      </c>
      <c r="J34" s="27">
        <v>0.08</v>
      </c>
      <c r="K34" s="27">
        <v>0.08</v>
      </c>
      <c r="L34" s="27">
        <v>0.08</v>
      </c>
      <c r="M34" s="27">
        <v>0.08</v>
      </c>
      <c r="N34" s="27">
        <v>0.08</v>
      </c>
      <c r="O34" s="27">
        <v>0.08</v>
      </c>
      <c r="P34" s="27">
        <v>0.08</v>
      </c>
      <c r="Q34" s="27">
        <v>0.08</v>
      </c>
    </row>
    <row r="35" spans="2:17" ht="15" customHeight="1" x14ac:dyDescent="0.3">
      <c r="B35" s="17" t="s">
        <v>27</v>
      </c>
      <c r="H35" s="27">
        <v>0.255</v>
      </c>
      <c r="I35" s="27">
        <v>0.255</v>
      </c>
      <c r="J35" s="27">
        <v>0.255</v>
      </c>
      <c r="K35" s="27">
        <v>0.255</v>
      </c>
      <c r="L35" s="27">
        <v>0.255</v>
      </c>
      <c r="M35" s="27">
        <v>0.255</v>
      </c>
      <c r="N35" s="27">
        <v>0.255</v>
      </c>
      <c r="O35" s="27">
        <v>0.255</v>
      </c>
      <c r="P35" s="27">
        <v>0.255</v>
      </c>
      <c r="Q35" s="27">
        <v>0.255</v>
      </c>
    </row>
    <row r="38" spans="2:17" ht="15" customHeight="1" x14ac:dyDescent="0.3">
      <c r="B38" s="11" t="s">
        <v>36</v>
      </c>
      <c r="C38" s="14">
        <f>WACC!D39</f>
        <v>0.12530610745762685</v>
      </c>
    </row>
    <row r="39" spans="2:17" ht="15" customHeight="1" x14ac:dyDescent="0.3">
      <c r="B39" s="11" t="s">
        <v>37</v>
      </c>
      <c r="C39" s="27">
        <v>5.5E-2</v>
      </c>
    </row>
    <row r="40" spans="2:17" ht="15" customHeight="1" x14ac:dyDescent="0.3">
      <c r="B40" s="11" t="s">
        <v>104</v>
      </c>
      <c r="C40" s="28">
        <v>46290</v>
      </c>
    </row>
  </sheetData>
  <mergeCells count="3">
    <mergeCell ref="B2:J2"/>
    <mergeCell ref="B6:E6"/>
    <mergeCell ref="B18:J18"/>
  </mergeCells>
  <pageMargins left="0.25" right="0.25" top="0.5" bottom="0.5" header="0.511811023622047" footer="0.511811023622047"/>
  <pageSetup fitToHeight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B2:N46"/>
  <sheetViews>
    <sheetView showGridLines="0" zoomScale="160" zoomScaleNormal="16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G37" sqref="G37"/>
    </sheetView>
  </sheetViews>
  <sheetFormatPr defaultColWidth="8.6640625" defaultRowHeight="14.4" x14ac:dyDescent="0.3"/>
  <cols>
    <col min="1" max="1" width="3" customWidth="1"/>
    <col min="2" max="2" width="36" customWidth="1"/>
    <col min="3" max="3" width="15" customWidth="1"/>
    <col min="4" max="4" width="16" customWidth="1"/>
    <col min="5" max="6" width="12" customWidth="1"/>
    <col min="7" max="7" width="14" customWidth="1"/>
    <col min="8" max="9" width="16" customWidth="1"/>
    <col min="10" max="10" width="86.6640625" bestFit="1" customWidth="1"/>
    <col min="11" max="14" width="4" customWidth="1"/>
  </cols>
  <sheetData>
    <row r="2" spans="2:14" ht="24" customHeight="1" x14ac:dyDescent="0.3">
      <c r="B2" s="8" t="s">
        <v>105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2:14" ht="15" customHeight="1" x14ac:dyDescent="0.3">
      <c r="B4" s="9" t="s">
        <v>106</v>
      </c>
    </row>
    <row r="6" spans="2:14" ht="15" customHeight="1" x14ac:dyDescent="0.3">
      <c r="B6" s="7" t="s">
        <v>107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8" spans="2:14" ht="21.75" customHeight="1" x14ac:dyDescent="0.3">
      <c r="B8" s="10" t="s">
        <v>108</v>
      </c>
      <c r="C8" s="10" t="s">
        <v>109</v>
      </c>
      <c r="D8" s="10" t="s">
        <v>110</v>
      </c>
      <c r="E8" s="10" t="s">
        <v>111</v>
      </c>
      <c r="F8" s="10" t="s">
        <v>27</v>
      </c>
      <c r="G8" s="10" t="s">
        <v>112</v>
      </c>
      <c r="H8" s="10" t="s">
        <v>113</v>
      </c>
      <c r="I8" s="10" t="s">
        <v>114</v>
      </c>
      <c r="J8" s="10" t="s">
        <v>115</v>
      </c>
    </row>
    <row r="9" spans="2:14" ht="15" customHeight="1" x14ac:dyDescent="0.3">
      <c r="B9" s="11" t="s">
        <v>116</v>
      </c>
      <c r="C9" s="12" t="s">
        <v>117</v>
      </c>
      <c r="D9" s="24">
        <v>2290.29</v>
      </c>
      <c r="E9" s="24">
        <f>Asian!C47*95.77</f>
        <v>229148.87899999999</v>
      </c>
      <c r="F9" s="29">
        <v>0.3</v>
      </c>
      <c r="G9" s="30">
        <f>D9/E9</f>
        <v>9.9947685103011132E-3</v>
      </c>
      <c r="H9" s="31">
        <f>Asian!C15</f>
        <v>1.1324446406572126</v>
      </c>
      <c r="I9" s="11">
        <f>H9/(1+(1-F9)*G9)</f>
        <v>1.1245767218523215</v>
      </c>
      <c r="J9" s="11" t="s">
        <v>118</v>
      </c>
    </row>
    <row r="10" spans="2:14" ht="15" customHeight="1" x14ac:dyDescent="0.3">
      <c r="B10" s="11" t="s">
        <v>119</v>
      </c>
      <c r="C10" s="12" t="s">
        <v>117</v>
      </c>
      <c r="D10" s="24">
        <v>670.27</v>
      </c>
      <c r="E10" s="24">
        <f>Berger!C47*116.57</f>
        <v>52386.557999999997</v>
      </c>
      <c r="F10" s="29">
        <v>0.3</v>
      </c>
      <c r="G10" s="30">
        <f>D10/E10</f>
        <v>1.2794694394695678E-2</v>
      </c>
      <c r="H10" s="31">
        <f>Berger!C15</f>
        <v>1.1393464442593588</v>
      </c>
      <c r="I10" s="11">
        <f>H10/(1+(1-F10)*G10)</f>
        <v>1.1292327130347182</v>
      </c>
      <c r="J10" s="11" t="s">
        <v>120</v>
      </c>
    </row>
    <row r="11" spans="2:14" ht="15" customHeight="1" x14ac:dyDescent="0.3">
      <c r="B11" s="11" t="s">
        <v>121</v>
      </c>
      <c r="C11" s="12" t="s">
        <v>117</v>
      </c>
      <c r="D11" s="24">
        <v>296.39</v>
      </c>
      <c r="E11" s="24">
        <f>Kansai!C47*80.71</f>
        <v>14480.181099999998</v>
      </c>
      <c r="F11" s="29">
        <v>0.3</v>
      </c>
      <c r="G11" s="30">
        <f>D11/E11</f>
        <v>2.0468666652242354E-2</v>
      </c>
      <c r="H11" s="31">
        <f>Kansai!C15</f>
        <v>1.1567668247472755</v>
      </c>
      <c r="I11" s="11">
        <f>H11/(1+(1-F11)*G11)</f>
        <v>1.1404267147612437</v>
      </c>
      <c r="J11" s="11" t="s">
        <v>122</v>
      </c>
    </row>
    <row r="12" spans="2:14" ht="15" customHeight="1" x14ac:dyDescent="0.3">
      <c r="B12" s="11" t="s">
        <v>123</v>
      </c>
      <c r="C12" s="12" t="s">
        <v>117</v>
      </c>
      <c r="D12" s="24">
        <v>1050</v>
      </c>
      <c r="E12" s="24">
        <f>Astral!C47*26.9</f>
        <v>37444.799999999996</v>
      </c>
      <c r="F12" s="29">
        <v>0.25</v>
      </c>
      <c r="G12" s="30">
        <f>D12/E12</f>
        <v>2.8041276759389826E-2</v>
      </c>
      <c r="H12" s="31">
        <f>Astral!C15</f>
        <v>0.58280013845078105</v>
      </c>
      <c r="I12" s="11">
        <f>H12/(1+(1-F12)*G12)</f>
        <v>0.57079575710228803</v>
      </c>
      <c r="J12" s="11" t="s">
        <v>124</v>
      </c>
    </row>
    <row r="13" spans="2:14" ht="15" customHeight="1" x14ac:dyDescent="0.3">
      <c r="B13" s="11" t="s">
        <v>125</v>
      </c>
      <c r="C13" s="12" t="s">
        <v>117</v>
      </c>
      <c r="D13" s="24">
        <v>130</v>
      </c>
      <c r="E13" s="24">
        <f>Supreme!C47*12.7</f>
        <v>43611.799999999996</v>
      </c>
      <c r="F13" s="29">
        <v>0.25</v>
      </c>
      <c r="G13" s="30">
        <f>D13/E13</f>
        <v>2.9808446337917724E-3</v>
      </c>
      <c r="H13" s="31">
        <f>Supreme!C15</f>
        <v>0.56361033461482979</v>
      </c>
      <c r="I13" s="11">
        <f>H13/(1+(1-F13)*G13)</f>
        <v>0.56235311915667918</v>
      </c>
      <c r="J13" s="11" t="s">
        <v>126</v>
      </c>
    </row>
    <row r="15" spans="2:14" ht="15" customHeight="1" x14ac:dyDescent="0.3">
      <c r="B15" s="11" t="s">
        <v>127</v>
      </c>
      <c r="I15" s="30">
        <f>MEDIAN(I9:I13)</f>
        <v>1.1245767218523215</v>
      </c>
    </row>
    <row r="16" spans="2:14" ht="15" customHeight="1" x14ac:dyDescent="0.3">
      <c r="B16" s="11" t="s">
        <v>128</v>
      </c>
      <c r="I16" s="30">
        <f>AVERAGE(I9:I13)</f>
        <v>0.90547700518145002</v>
      </c>
    </row>
    <row r="17" spans="2:14" ht="14.25" customHeight="1" x14ac:dyDescent="0.3">
      <c r="B17" s="11" t="s">
        <v>129</v>
      </c>
      <c r="I17" s="30">
        <f>MEDIAN(I9:I11)</f>
        <v>1.1292327130347182</v>
      </c>
    </row>
    <row r="18" spans="2:14" ht="14.25" customHeight="1" x14ac:dyDescent="0.3">
      <c r="B18" s="11" t="s">
        <v>130</v>
      </c>
      <c r="I18" s="32">
        <v>2</v>
      </c>
    </row>
    <row r="19" spans="2:14" ht="15" customHeight="1" x14ac:dyDescent="0.3">
      <c r="B19" s="7" t="s">
        <v>131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1" spans="2:14" ht="15" customHeight="1" x14ac:dyDescent="0.3">
      <c r="B21" s="11" t="s">
        <v>132</v>
      </c>
      <c r="D21" s="27">
        <v>7.1199999999999999E-2</v>
      </c>
      <c r="N21" s="14"/>
    </row>
    <row r="22" spans="2:14" ht="15" customHeight="1" x14ac:dyDescent="0.3">
      <c r="B22" s="11" t="s">
        <v>133</v>
      </c>
      <c r="D22" s="27">
        <v>0.06</v>
      </c>
      <c r="N22" s="14"/>
    </row>
    <row r="23" spans="2:14" ht="15" customHeight="1" x14ac:dyDescent="0.3">
      <c r="B23" s="11" t="s">
        <v>134</v>
      </c>
      <c r="D23" s="27">
        <v>0.01</v>
      </c>
      <c r="N23" s="14"/>
    </row>
    <row r="24" spans="2:14" ht="15" customHeight="1" x14ac:dyDescent="0.3">
      <c r="B24" s="11" t="s">
        <v>135</v>
      </c>
      <c r="D24" s="27">
        <v>0.255</v>
      </c>
      <c r="N24" s="14"/>
    </row>
    <row r="25" spans="2:14" ht="15" customHeight="1" x14ac:dyDescent="0.3">
      <c r="B25" s="11" t="s">
        <v>136</v>
      </c>
      <c r="D25" s="30">
        <f>CHOOSE($I$18,I15,I16,I17)</f>
        <v>0.90547700518145002</v>
      </c>
      <c r="N25" s="30"/>
    </row>
    <row r="26" spans="2:14" ht="15" customHeight="1" x14ac:dyDescent="0.3">
      <c r="B26" s="11" t="s">
        <v>137</v>
      </c>
      <c r="D26" s="30">
        <f>D25*(1+(1-D24)*D23)</f>
        <v>0.9122228088700518</v>
      </c>
      <c r="N26" s="30"/>
    </row>
    <row r="27" spans="2:14" ht="15" customHeight="1" x14ac:dyDescent="0.3">
      <c r="B27" s="11" t="s">
        <v>138</v>
      </c>
      <c r="D27" s="14">
        <f>D21+D26*D22</f>
        <v>0.1259333685322031</v>
      </c>
      <c r="N27" s="14"/>
    </row>
    <row r="30" spans="2:14" ht="15" customHeight="1" x14ac:dyDescent="0.3">
      <c r="B30" s="7" t="s">
        <v>139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2" spans="2:14" ht="15" customHeight="1" x14ac:dyDescent="0.3">
      <c r="B32" s="11" t="s">
        <v>140</v>
      </c>
      <c r="D32" s="12">
        <f>'Data Sheet'!C10</f>
        <v>154458.42598948002</v>
      </c>
      <c r="N32" s="12"/>
    </row>
    <row r="33" spans="2:14" ht="15" customHeight="1" x14ac:dyDescent="0.3">
      <c r="B33" s="11" t="s">
        <v>72</v>
      </c>
      <c r="D33" s="12">
        <f>'Data Sheet'!C12</f>
        <v>105.91</v>
      </c>
      <c r="N33" s="12"/>
    </row>
    <row r="34" spans="2:14" ht="15" customHeight="1" x14ac:dyDescent="0.3">
      <c r="B34" s="11" t="s">
        <v>141</v>
      </c>
      <c r="D34" s="14">
        <f>1/(1+D23)</f>
        <v>0.99009900990099009</v>
      </c>
      <c r="N34" s="14"/>
    </row>
    <row r="35" spans="2:14" ht="15" customHeight="1" x14ac:dyDescent="0.3">
      <c r="B35" s="11" t="s">
        <v>142</v>
      </c>
      <c r="D35" s="14">
        <f>D23/(1+D23)</f>
        <v>9.9009900990099011E-3</v>
      </c>
      <c r="N35" s="14"/>
    </row>
    <row r="36" spans="2:14" ht="15" customHeight="1" x14ac:dyDescent="0.3">
      <c r="B36" s="11" t="s">
        <v>143</v>
      </c>
      <c r="D36" s="27">
        <v>8.4000000000000005E-2</v>
      </c>
      <c r="N36" s="14"/>
    </row>
    <row r="37" spans="2:14" ht="15" customHeight="1" x14ac:dyDescent="0.3">
      <c r="B37" s="11" t="s">
        <v>144</v>
      </c>
      <c r="D37" s="14">
        <f>D36*(1-D24)</f>
        <v>6.2579999999999997E-2</v>
      </c>
      <c r="N37" s="14"/>
    </row>
    <row r="38" spans="2:14" ht="15" customHeight="1" x14ac:dyDescent="0.3">
      <c r="B38" s="11" t="s">
        <v>138</v>
      </c>
      <c r="D38" s="14">
        <f>D27</f>
        <v>0.1259333685322031</v>
      </c>
      <c r="N38" s="14"/>
    </row>
    <row r="39" spans="2:14" ht="15" customHeight="1" x14ac:dyDescent="0.3">
      <c r="B39" s="11" t="s">
        <v>145</v>
      </c>
      <c r="D39" s="14">
        <f>D34*D38+D35*D37</f>
        <v>0.12530610745762685</v>
      </c>
      <c r="N39" s="14"/>
    </row>
    <row r="42" spans="2:14" ht="15" customHeight="1" x14ac:dyDescent="0.3">
      <c r="B42" s="11" t="s">
        <v>146</v>
      </c>
    </row>
    <row r="43" spans="2:14" ht="15" customHeight="1" x14ac:dyDescent="0.3">
      <c r="B43" s="5" t="s">
        <v>147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2:14" ht="15" customHeight="1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2:14" ht="15" customHeight="1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2:14" ht="15" customHeight="1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</sheetData>
  <mergeCells count="5">
    <mergeCell ref="B2:N2"/>
    <mergeCell ref="B6:N6"/>
    <mergeCell ref="B19:N19"/>
    <mergeCell ref="B30:N30"/>
    <mergeCell ref="B43:N46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5911"/>
  </sheetPr>
  <dimension ref="B2:L43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6" sqref="K16"/>
    </sheetView>
  </sheetViews>
  <sheetFormatPr defaultColWidth="8.6640625" defaultRowHeight="14.4" x14ac:dyDescent="0.3"/>
  <cols>
    <col min="1" max="1" width="3" customWidth="1"/>
    <col min="2" max="2" width="46" customWidth="1"/>
    <col min="3" max="4" width="15" customWidth="1"/>
    <col min="5" max="6" width="17" customWidth="1"/>
    <col min="7" max="7" width="15" customWidth="1"/>
    <col min="8" max="8" width="13" customWidth="1"/>
    <col min="9" max="9" width="10" customWidth="1"/>
    <col min="10" max="10" width="11" customWidth="1"/>
    <col min="11" max="11" width="9" customWidth="1"/>
    <col min="12" max="12" width="46" customWidth="1"/>
  </cols>
  <sheetData>
    <row r="2" spans="2:12" ht="24" customHeight="1" x14ac:dyDescent="0.4">
      <c r="B2" s="4" t="s">
        <v>148</v>
      </c>
      <c r="C2" s="4"/>
      <c r="D2" s="4"/>
      <c r="E2" s="4"/>
      <c r="F2" s="4"/>
      <c r="G2" s="4"/>
      <c r="H2" s="4"/>
      <c r="I2" s="4"/>
      <c r="J2" s="4"/>
      <c r="K2" s="4"/>
    </row>
    <row r="4" spans="2:12" ht="15" customHeight="1" x14ac:dyDescent="0.3">
      <c r="B4" s="33" t="s">
        <v>149</v>
      </c>
    </row>
    <row r="6" spans="2:12" ht="15" customHeight="1" x14ac:dyDescent="0.3">
      <c r="B6" s="3" t="s">
        <v>150</v>
      </c>
      <c r="C6" s="3"/>
      <c r="D6" s="3"/>
      <c r="E6" s="3"/>
      <c r="F6" s="3"/>
      <c r="G6" s="3"/>
      <c r="H6" s="3"/>
      <c r="I6" s="3"/>
      <c r="J6" s="3"/>
      <c r="K6" s="3"/>
    </row>
    <row r="8" spans="2:12" ht="21.75" customHeight="1" x14ac:dyDescent="0.3">
      <c r="B8" s="34" t="s">
        <v>108</v>
      </c>
      <c r="C8" s="34" t="s">
        <v>151</v>
      </c>
      <c r="D8" s="34" t="s">
        <v>85</v>
      </c>
      <c r="E8" s="34" t="s">
        <v>152</v>
      </c>
      <c r="F8" s="34" t="s">
        <v>153</v>
      </c>
      <c r="G8" s="34" t="s">
        <v>154</v>
      </c>
      <c r="H8" s="34" t="s">
        <v>155</v>
      </c>
      <c r="I8" s="34" t="s">
        <v>156</v>
      </c>
      <c r="J8" s="34" t="s">
        <v>157</v>
      </c>
      <c r="K8" s="34" t="s">
        <v>158</v>
      </c>
      <c r="L8" s="34" t="s">
        <v>115</v>
      </c>
    </row>
    <row r="9" spans="2:12" ht="42" customHeight="1" x14ac:dyDescent="0.3">
      <c r="B9" s="35" t="s">
        <v>116</v>
      </c>
      <c r="C9" s="36">
        <f>WACC!E9</f>
        <v>229148.87899999999</v>
      </c>
      <c r="D9" s="36">
        <f>WACC!D9</f>
        <v>2290.29</v>
      </c>
      <c r="E9" s="37">
        <v>7062</v>
      </c>
      <c r="F9" s="36">
        <f>C9+D9-E9</f>
        <v>224377.16899999999</v>
      </c>
      <c r="G9" s="37">
        <v>7240</v>
      </c>
      <c r="H9" s="37">
        <v>4837</v>
      </c>
      <c r="I9" s="38">
        <v>49.68</v>
      </c>
      <c r="J9" s="39">
        <f>F9/G9</f>
        <v>30.991321685082873</v>
      </c>
      <c r="K9" s="39">
        <f>C9/H9</f>
        <v>47.374173868100058</v>
      </c>
      <c r="L9" s="40" t="s">
        <v>159</v>
      </c>
    </row>
    <row r="10" spans="2:12" ht="42" customHeight="1" x14ac:dyDescent="0.3">
      <c r="B10" s="35" t="s">
        <v>119</v>
      </c>
      <c r="C10" s="36">
        <f>WACC!E10</f>
        <v>52386.557999999997</v>
      </c>
      <c r="D10" s="36">
        <f>WACC!D10</f>
        <v>670.27</v>
      </c>
      <c r="E10" s="37">
        <v>1189</v>
      </c>
      <c r="F10" s="36">
        <f>C10+D10-E10</f>
        <v>51867.827999999994</v>
      </c>
      <c r="G10" s="37">
        <v>1912</v>
      </c>
      <c r="H10" s="37">
        <v>1218</v>
      </c>
      <c r="I10" s="38">
        <v>10.44</v>
      </c>
      <c r="J10" s="39">
        <f>F10/G10</f>
        <v>27.127525104602508</v>
      </c>
      <c r="K10" s="39">
        <f>C10/H10</f>
        <v>43.010310344827587</v>
      </c>
      <c r="L10" s="40" t="s">
        <v>160</v>
      </c>
    </row>
    <row r="11" spans="2:12" ht="42" customHeight="1" x14ac:dyDescent="0.3">
      <c r="B11" s="35" t="s">
        <v>121</v>
      </c>
      <c r="C11" s="36">
        <f>WACC!E11</f>
        <v>14480.181099999998</v>
      </c>
      <c r="D11" s="36">
        <f>WACC!D11</f>
        <v>296.39</v>
      </c>
      <c r="E11" s="37">
        <v>2365</v>
      </c>
      <c r="F11" s="36">
        <f>C11+D11-E11</f>
        <v>12411.571099999997</v>
      </c>
      <c r="G11" s="37">
        <v>1000</v>
      </c>
      <c r="H11" s="37">
        <v>589</v>
      </c>
      <c r="I11" s="38">
        <v>7.42</v>
      </c>
      <c r="J11" s="39">
        <f>F11/G11</f>
        <v>12.411571099999998</v>
      </c>
      <c r="K11" s="39">
        <f>C11/H11</f>
        <v>24.584348217317483</v>
      </c>
      <c r="L11" s="40" t="s">
        <v>161</v>
      </c>
    </row>
    <row r="12" spans="2:12" ht="42" customHeight="1" x14ac:dyDescent="0.3">
      <c r="B12" s="35" t="s">
        <v>123</v>
      </c>
      <c r="C12" s="36">
        <f>WACC!E12</f>
        <v>37444.799999999996</v>
      </c>
      <c r="D12" s="36">
        <f>WACC!D12</f>
        <v>1050</v>
      </c>
      <c r="E12" s="37">
        <v>0</v>
      </c>
      <c r="F12" s="36">
        <f>C12+D12-E12</f>
        <v>38494.799999999996</v>
      </c>
      <c r="G12" s="37">
        <v>1108</v>
      </c>
      <c r="H12" s="37">
        <v>576</v>
      </c>
      <c r="I12" s="38">
        <v>21.43</v>
      </c>
      <c r="J12" s="39">
        <f>F12/G12</f>
        <v>34.742599277978336</v>
      </c>
      <c r="K12" s="39">
        <f>C12/H12</f>
        <v>65.008333333333326</v>
      </c>
      <c r="L12" s="40" t="s">
        <v>162</v>
      </c>
    </row>
    <row r="13" spans="2:12" ht="42" customHeight="1" x14ac:dyDescent="0.3">
      <c r="B13" s="35" t="s">
        <v>125</v>
      </c>
      <c r="C13" s="36">
        <f>WACC!E13</f>
        <v>43611.799999999996</v>
      </c>
      <c r="D13" s="36">
        <f>WACC!D13</f>
        <v>130</v>
      </c>
      <c r="E13" s="37">
        <v>762</v>
      </c>
      <c r="F13" s="36">
        <f>C13+D13-E13</f>
        <v>42979.799999999996</v>
      </c>
      <c r="G13" s="37">
        <v>1632</v>
      </c>
      <c r="H13" s="37">
        <v>1032</v>
      </c>
      <c r="I13" s="38">
        <v>81.27</v>
      </c>
      <c r="J13" s="39">
        <f>F13/G13</f>
        <v>26.335661764705879</v>
      </c>
      <c r="K13" s="39">
        <f>C13/H13</f>
        <v>42.259496124031003</v>
      </c>
      <c r="L13" s="40" t="s">
        <v>163</v>
      </c>
    </row>
    <row r="15" spans="2:12" ht="15" customHeight="1" x14ac:dyDescent="0.3">
      <c r="B15" s="35"/>
      <c r="G15" s="48" t="s">
        <v>164</v>
      </c>
      <c r="H15" s="48"/>
      <c r="I15" s="48"/>
      <c r="J15" s="49">
        <f>MEDIAN(J9:J13)</f>
        <v>27.127525104602508</v>
      </c>
    </row>
    <row r="16" spans="2:12" ht="15" customHeight="1" x14ac:dyDescent="0.3">
      <c r="B16" s="35"/>
      <c r="G16" s="48" t="s">
        <v>165</v>
      </c>
      <c r="H16" s="48"/>
      <c r="I16" s="48"/>
      <c r="J16" s="50">
        <f>MEDIAN(K9:K13)</f>
        <v>43.010310344827587</v>
      </c>
      <c r="K16" s="39"/>
    </row>
    <row r="19" spans="2:11" ht="15" customHeight="1" x14ac:dyDescent="0.3">
      <c r="B19" s="3" t="s">
        <v>166</v>
      </c>
      <c r="C19" s="3"/>
      <c r="D19" s="3"/>
      <c r="E19" s="3"/>
      <c r="F19" s="3"/>
      <c r="G19" s="3"/>
      <c r="H19" s="3"/>
      <c r="I19" s="3"/>
      <c r="J19" s="3"/>
      <c r="K19" s="3"/>
    </row>
    <row r="21" spans="2:11" ht="15" customHeight="1" x14ac:dyDescent="0.3">
      <c r="B21" s="35" t="s">
        <v>167</v>
      </c>
      <c r="D21" s="36">
        <f>'RAW FS'!G8</f>
        <v>4163.8100000000004</v>
      </c>
    </row>
    <row r="22" spans="2:11" ht="15" customHeight="1" x14ac:dyDescent="0.3">
      <c r="B22" s="35" t="s">
        <v>168</v>
      </c>
      <c r="D22" s="36">
        <f>DCF!K12</f>
        <v>4456.9033575000012</v>
      </c>
    </row>
    <row r="23" spans="2:11" ht="15" customHeight="1" x14ac:dyDescent="0.3">
      <c r="B23" s="35" t="s">
        <v>169</v>
      </c>
      <c r="D23" s="36">
        <f>'RAW FS'!G12</f>
        <v>2448.92</v>
      </c>
    </row>
    <row r="24" spans="2:11" ht="15" customHeight="1" x14ac:dyDescent="0.3">
      <c r="B24" s="35" t="s">
        <v>46</v>
      </c>
      <c r="D24" s="41">
        <f>'Data Sheet'!C9</f>
        <v>1018.049209</v>
      </c>
    </row>
    <row r="25" spans="2:11" ht="15" customHeight="1" x14ac:dyDescent="0.3">
      <c r="B25" s="35" t="s">
        <v>85</v>
      </c>
      <c r="D25" s="36">
        <f>'Data Sheet'!C12</f>
        <v>105.91</v>
      </c>
    </row>
    <row r="26" spans="2:11" ht="15" customHeight="1" x14ac:dyDescent="0.3">
      <c r="B26" s="35" t="s">
        <v>86</v>
      </c>
      <c r="D26" s="36">
        <f>'Data Sheet'!C13</f>
        <v>298.89999999999998</v>
      </c>
    </row>
    <row r="27" spans="2:11" ht="15" customHeight="1" x14ac:dyDescent="0.3">
      <c r="B27" s="35" t="s">
        <v>87</v>
      </c>
      <c r="D27" s="36">
        <f>'Data Sheet'!C14</f>
        <v>3919.83</v>
      </c>
    </row>
    <row r="29" spans="2:11" ht="15" customHeight="1" x14ac:dyDescent="0.3">
      <c r="B29" s="3" t="s">
        <v>170</v>
      </c>
      <c r="C29" s="3"/>
      <c r="D29" s="3"/>
      <c r="E29" s="3"/>
      <c r="F29" s="3"/>
      <c r="G29" s="3"/>
      <c r="H29" s="3"/>
      <c r="I29" s="3"/>
      <c r="J29" s="3"/>
      <c r="K29" s="3"/>
    </row>
    <row r="31" spans="2:11" ht="15" customHeight="1" x14ac:dyDescent="0.3">
      <c r="B31" s="35" t="s">
        <v>171</v>
      </c>
      <c r="D31" s="36">
        <f>$J$15*D21</f>
        <v>112953.86030579498</v>
      </c>
    </row>
    <row r="32" spans="2:11" ht="15" customHeight="1" x14ac:dyDescent="0.3">
      <c r="B32" s="35" t="s">
        <v>172</v>
      </c>
      <c r="D32" s="36">
        <f>$J$15*D22</f>
        <v>120904.75771936848</v>
      </c>
    </row>
    <row r="33" spans="2:12" ht="15" customHeight="1" x14ac:dyDescent="0.3">
      <c r="B33" s="35" t="s">
        <v>173</v>
      </c>
      <c r="D33" s="36">
        <f>D31+D26+D27-D25</f>
        <v>117066.68030579497</v>
      </c>
    </row>
    <row r="34" spans="2:12" ht="15" customHeight="1" x14ac:dyDescent="0.3">
      <c r="B34" s="35" t="s">
        <v>174</v>
      </c>
      <c r="D34" s="36">
        <f>D32+D26+D27-D25</f>
        <v>125017.57771936848</v>
      </c>
    </row>
    <row r="35" spans="2:12" ht="15" customHeight="1" x14ac:dyDescent="0.3">
      <c r="B35" s="20" t="s">
        <v>175</v>
      </c>
      <c r="D35" s="21">
        <f>D33/D24*10</f>
        <v>1149.9118045657749</v>
      </c>
    </row>
    <row r="36" spans="2:12" ht="15" customHeight="1" x14ac:dyDescent="0.3">
      <c r="B36" s="20" t="s">
        <v>176</v>
      </c>
      <c r="D36" s="21">
        <f>D34/D24*10</f>
        <v>1228.0111473409972</v>
      </c>
    </row>
    <row r="37" spans="2:12" ht="15" customHeight="1" x14ac:dyDescent="0.3">
      <c r="B37" s="20" t="s">
        <v>177</v>
      </c>
      <c r="D37" s="21">
        <f>$K$16*(D23/D24*10)</f>
        <v>0</v>
      </c>
    </row>
    <row r="40" spans="2:12" ht="15" customHeight="1" x14ac:dyDescent="0.3">
      <c r="B40" s="2" t="s">
        <v>178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ht="1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ht="1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ht="1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</sheetData>
  <mergeCells count="5">
    <mergeCell ref="B2:K2"/>
    <mergeCell ref="B6:K6"/>
    <mergeCell ref="B19:K19"/>
    <mergeCell ref="B29:K29"/>
    <mergeCell ref="B40:L4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B2:P2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6" customWidth="1"/>
    <col min="3" max="5" width="4" customWidth="1"/>
    <col min="6" max="15" width="15" customWidth="1"/>
    <col min="16" max="16" width="18" customWidth="1"/>
  </cols>
  <sheetData>
    <row r="2" spans="2:16" ht="24" customHeight="1" x14ac:dyDescent="0.3">
      <c r="B2" s="8" t="s">
        <v>179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2:16" ht="15" customHeight="1" x14ac:dyDescent="0.3">
      <c r="B4" s="9" t="s">
        <v>180</v>
      </c>
    </row>
    <row r="6" spans="2:16" ht="15" customHeight="1" x14ac:dyDescent="0.3">
      <c r="B6" s="7" t="s">
        <v>181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8" spans="2:16" ht="15" customHeight="1" x14ac:dyDescent="0.3">
      <c r="B8" s="10" t="s">
        <v>90</v>
      </c>
      <c r="C8" s="10"/>
      <c r="D8" s="10"/>
      <c r="E8" s="10"/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/>
      <c r="L8" s="10"/>
      <c r="M8" s="10"/>
      <c r="N8" s="10"/>
      <c r="O8" s="10"/>
    </row>
    <row r="9" spans="2:16" ht="15" customHeight="1" x14ac:dyDescent="0.3">
      <c r="B9" s="11" t="s">
        <v>182</v>
      </c>
      <c r="F9" s="12">
        <f>'RAW FS'!C14+'RAW FS'!C15+'RAW FS'!C16</f>
        <v>3486.92</v>
      </c>
      <c r="G9" s="12">
        <f>'RAW FS'!D14+'RAW FS'!D15+'RAW FS'!D16</f>
        <v>3703.67</v>
      </c>
      <c r="H9" s="12">
        <f>'RAW FS'!E14+'RAW FS'!E15+'RAW FS'!E16</f>
        <v>3432.96</v>
      </c>
      <c r="I9" s="12">
        <f>'RAW FS'!F14+'RAW FS'!F15+'RAW FS'!F16</f>
        <v>3963.8199999999997</v>
      </c>
      <c r="J9" s="12">
        <f>'RAW FS'!G14+'RAW FS'!G15+'RAW FS'!G16</f>
        <v>4313.1499999999996</v>
      </c>
    </row>
    <row r="10" spans="2:16" ht="15" customHeight="1" x14ac:dyDescent="0.3">
      <c r="B10" s="11" t="s">
        <v>183</v>
      </c>
      <c r="F10" s="12">
        <f>'RAW FS'!C17+'RAW FS'!C18</f>
        <v>1996.7199999999998</v>
      </c>
      <c r="G10" s="12">
        <f>'RAW FS'!D17+'RAW FS'!D18</f>
        <v>2212.38</v>
      </c>
      <c r="H10" s="12">
        <f>'RAW FS'!E17+'RAW FS'!E18</f>
        <v>2470.27</v>
      </c>
      <c r="I10" s="12">
        <f>'RAW FS'!F17+'RAW FS'!F18</f>
        <v>2893.0299999999997</v>
      </c>
      <c r="J10" s="12">
        <f>'RAW FS'!G17+'RAW FS'!G18</f>
        <v>3221.84</v>
      </c>
    </row>
    <row r="11" spans="2:16" ht="15" customHeight="1" x14ac:dyDescent="0.3">
      <c r="B11" s="11" t="s">
        <v>184</v>
      </c>
      <c r="F11" s="12">
        <f>F9-F10</f>
        <v>1490.2000000000003</v>
      </c>
      <c r="G11" s="12">
        <f>G9-G10</f>
        <v>1491.29</v>
      </c>
      <c r="H11" s="12">
        <f>H9-H10</f>
        <v>962.69</v>
      </c>
      <c r="I11" s="12">
        <f>I9-I10</f>
        <v>1070.79</v>
      </c>
      <c r="J11" s="12">
        <f>J9-J10</f>
        <v>1091.3099999999995</v>
      </c>
    </row>
    <row r="12" spans="2:16" ht="15" customHeight="1" x14ac:dyDescent="0.3">
      <c r="B12" s="11" t="s">
        <v>185</v>
      </c>
      <c r="F12" s="12">
        <f>'RAW FS'!C23-'RAW FS'!C20-'RAW FS'!C21</f>
        <v>5875.0199999999995</v>
      </c>
      <c r="G12" s="12">
        <f>'RAW FS'!D23-'RAW FS'!D20-'RAW FS'!D21</f>
        <v>6354.43</v>
      </c>
      <c r="H12" s="12">
        <f>'RAW FS'!E23-'RAW FS'!E20-'RAW FS'!E21</f>
        <v>6003.71</v>
      </c>
      <c r="I12" s="12">
        <f>'RAW FS'!F23-'RAW FS'!F20-'RAW FS'!F21</f>
        <v>6256.29</v>
      </c>
      <c r="J12" s="12">
        <f>'RAW FS'!G23-'RAW FS'!G20-'RAW FS'!G21</f>
        <v>6613.4400000000005</v>
      </c>
    </row>
    <row r="13" spans="2:16" ht="15" customHeight="1" x14ac:dyDescent="0.3">
      <c r="B13" s="11" t="s">
        <v>26</v>
      </c>
      <c r="F13" s="12">
        <f>'RAW FS'!C10</f>
        <v>1826</v>
      </c>
      <c r="G13" s="12">
        <f>'RAW FS'!D10</f>
        <v>1943</v>
      </c>
      <c r="H13" s="12">
        <f>'RAW FS'!E10</f>
        <v>2768</v>
      </c>
      <c r="I13" s="12">
        <f>'RAW FS'!F10</f>
        <v>3231.52</v>
      </c>
      <c r="J13" s="12">
        <f>'RAW FS'!G10</f>
        <v>3769.1</v>
      </c>
    </row>
    <row r="14" spans="2:16" ht="15" customHeight="1" x14ac:dyDescent="0.3">
      <c r="B14" s="11" t="s">
        <v>27</v>
      </c>
      <c r="F14" s="12">
        <f>('RAW FS'!C11-'RAW FS'!C12)/'RAW FS'!C11</f>
        <v>0.24820574162679426</v>
      </c>
      <c r="G14" s="12">
        <f>('RAW FS'!D11-'RAW FS'!D12)/'RAW FS'!D11</f>
        <v>0.26601387188902487</v>
      </c>
      <c r="H14" s="12">
        <f>('RAW FS'!E11-'RAW FS'!E12)/'RAW FS'!E11</f>
        <v>0.14616293279022399</v>
      </c>
      <c r="I14" s="12">
        <f>('RAW FS'!F11-'RAW FS'!F12)/'RAW FS'!F11</f>
        <v>0.26444893187373791</v>
      </c>
      <c r="J14" s="12">
        <f>('RAW FS'!G11-'RAW FS'!G12)/'RAW FS'!G11</f>
        <v>0.26241126207392995</v>
      </c>
    </row>
    <row r="15" spans="2:16" ht="15" customHeight="1" x14ac:dyDescent="0.3">
      <c r="B15" s="11" t="s">
        <v>28</v>
      </c>
      <c r="F15" s="12">
        <f>F13*(1-F14)</f>
        <v>1372.7763157894738</v>
      </c>
      <c r="G15" s="12">
        <f>G13*(1-G14)</f>
        <v>1426.1350469196248</v>
      </c>
      <c r="H15" s="12">
        <f>H13*(1-H14)</f>
        <v>2363.42100203666</v>
      </c>
      <c r="I15" s="12">
        <f>I13*(1-I14)</f>
        <v>2376.9479876713781</v>
      </c>
      <c r="J15" s="12">
        <f>J13*(1-J14)</f>
        <v>2780.0457121171507</v>
      </c>
    </row>
    <row r="16" spans="2:16" ht="15" customHeight="1" x14ac:dyDescent="0.3">
      <c r="B16" s="11" t="s">
        <v>186</v>
      </c>
      <c r="F16" s="14">
        <f>F15/F12</f>
        <v>0.23366325830200985</v>
      </c>
      <c r="G16" s="14">
        <f>G15/G12</f>
        <v>0.22443162438167147</v>
      </c>
      <c r="H16" s="14">
        <f>H15/H12</f>
        <v>0.39366008718553358</v>
      </c>
      <c r="I16" s="14">
        <f>I15/I12</f>
        <v>0.37992931716262801</v>
      </c>
      <c r="J16" s="14">
        <f>J15/J12</f>
        <v>0.42036303529133862</v>
      </c>
    </row>
    <row r="19" spans="2:16" ht="15" customHeight="1" x14ac:dyDescent="0.3">
      <c r="B19" s="7" t="s">
        <v>187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1" spans="2:16" ht="15" customHeight="1" x14ac:dyDescent="0.3">
      <c r="B21" s="10" t="s">
        <v>90</v>
      </c>
      <c r="C21" s="10"/>
      <c r="D21" s="10"/>
      <c r="E21" s="10"/>
      <c r="F21" s="10" t="s">
        <v>4</v>
      </c>
      <c r="G21" s="10" t="s">
        <v>5</v>
      </c>
      <c r="H21" s="10" t="s">
        <v>6</v>
      </c>
      <c r="I21" s="10" t="s">
        <v>7</v>
      </c>
      <c r="J21" s="10" t="s">
        <v>8</v>
      </c>
      <c r="K21" s="10"/>
      <c r="L21" s="10"/>
      <c r="M21" s="10"/>
      <c r="N21" s="10"/>
      <c r="O21" s="10"/>
    </row>
    <row r="22" spans="2:16" ht="15" customHeight="1" x14ac:dyDescent="0.3">
      <c r="B22" s="11" t="s">
        <v>29</v>
      </c>
      <c r="F22" s="12">
        <f>'RAW FS'!C13</f>
        <v>374.7</v>
      </c>
      <c r="G22" s="12">
        <f>'RAW FS'!D13</f>
        <v>505.4</v>
      </c>
      <c r="H22" s="12">
        <f>'RAW FS'!E13</f>
        <v>558.70000000000005</v>
      </c>
      <c r="I22" s="12">
        <f>'RAW FS'!F13</f>
        <v>452.34</v>
      </c>
      <c r="J22" s="12">
        <f>'RAW FS'!G13</f>
        <v>592.77</v>
      </c>
      <c r="P22" s="11" t="s">
        <v>188</v>
      </c>
    </row>
    <row r="23" spans="2:16" ht="15" customHeight="1" x14ac:dyDescent="0.3">
      <c r="B23" s="11" t="s">
        <v>25</v>
      </c>
      <c r="F23" s="12">
        <f>'RAW FS'!C9</f>
        <v>194</v>
      </c>
      <c r="G23" s="12">
        <f>'RAW FS'!D9</f>
        <v>222</v>
      </c>
      <c r="H23" s="12">
        <f>'RAW FS'!E9</f>
        <v>289</v>
      </c>
      <c r="I23" s="12">
        <f>'RAW FS'!F9</f>
        <v>358.48</v>
      </c>
      <c r="J23" s="12">
        <f>'RAW FS'!G9</f>
        <v>394.71</v>
      </c>
      <c r="P23" s="14">
        <f>MEDIAN(F28:J28)</f>
        <v>3.2281112288592741E-2</v>
      </c>
    </row>
    <row r="24" spans="2:16" ht="15" customHeight="1" x14ac:dyDescent="0.3">
      <c r="B24" s="11" t="s">
        <v>31</v>
      </c>
      <c r="F24" s="12">
        <v>0</v>
      </c>
      <c r="G24" s="12">
        <f>G11-F11</f>
        <v>1.0899999999996908</v>
      </c>
      <c r="H24" s="12">
        <f>H11-G11</f>
        <v>-528.59999999999991</v>
      </c>
      <c r="I24" s="12">
        <f>I11-H11</f>
        <v>108.09999999999991</v>
      </c>
      <c r="J24" s="12">
        <f>J11-I11</f>
        <v>20.519999999999527</v>
      </c>
      <c r="P24" s="11" t="s">
        <v>189</v>
      </c>
    </row>
    <row r="25" spans="2:16" ht="15" customHeight="1" x14ac:dyDescent="0.3">
      <c r="B25" s="11" t="s">
        <v>190</v>
      </c>
      <c r="F25" s="12">
        <f>F22-F23+F24</f>
        <v>180.7</v>
      </c>
      <c r="G25" s="12">
        <f>G22-G23+G24</f>
        <v>284.48999999999967</v>
      </c>
      <c r="H25" s="12">
        <f>H22-H23+H24</f>
        <v>-258.89999999999986</v>
      </c>
      <c r="I25" s="12">
        <f>I22-I23+I24</f>
        <v>201.95999999999987</v>
      </c>
      <c r="J25" s="12">
        <f>J22-J23+J24</f>
        <v>218.57999999999953</v>
      </c>
      <c r="P25" s="14">
        <f>AVERAGE(F28:J28)</f>
        <v>1.9547267703912258E-2</v>
      </c>
    </row>
    <row r="26" spans="2:16" ht="15" customHeight="1" x14ac:dyDescent="0.3">
      <c r="B26" s="11" t="s">
        <v>191</v>
      </c>
      <c r="F26" s="14">
        <f>F25/F15</f>
        <v>0.13163105884157153</v>
      </c>
      <c r="G26" s="14">
        <f>G25/G15</f>
        <v>0.19948321206640479</v>
      </c>
      <c r="H26" s="14">
        <f>H25/H15</f>
        <v>-0.10954459648826628</v>
      </c>
      <c r="I26" s="14">
        <f>I25/I15</f>
        <v>8.496609982528637E-2</v>
      </c>
      <c r="J26" s="14">
        <f>J25/J15</f>
        <v>7.8624606439848574E-2</v>
      </c>
      <c r="P26" s="11" t="s">
        <v>192</v>
      </c>
    </row>
    <row r="27" spans="2:16" ht="15" customHeight="1" x14ac:dyDescent="0.3">
      <c r="B27" s="11" t="s">
        <v>186</v>
      </c>
      <c r="F27" s="14">
        <f>F16</f>
        <v>0.23366325830200985</v>
      </c>
      <c r="G27" s="14">
        <f>G16</f>
        <v>0.22443162438167147</v>
      </c>
      <c r="H27" s="14">
        <f>H16</f>
        <v>0.39366008718553358</v>
      </c>
      <c r="I27" s="14">
        <f>I16</f>
        <v>0.37992931716262801</v>
      </c>
      <c r="J27" s="14">
        <f>J16</f>
        <v>0.42036303529133862</v>
      </c>
      <c r="P27" s="14">
        <f>'Data Sheet'!C39</f>
        <v>5.5E-2</v>
      </c>
    </row>
    <row r="28" spans="2:16" ht="15" customHeight="1" x14ac:dyDescent="0.3">
      <c r="B28" s="11" t="s">
        <v>193</v>
      </c>
      <c r="F28" s="14">
        <f>F26*F27</f>
        <v>3.0757342102665185E-2</v>
      </c>
      <c r="G28" s="14">
        <f>G26*G27</f>
        <v>4.4770341320936671E-2</v>
      </c>
      <c r="H28" s="14">
        <f>H26*H27</f>
        <v>-4.3123335404275001E-2</v>
      </c>
      <c r="I28" s="14">
        <f>I26*I27</f>
        <v>3.2281112288592741E-2</v>
      </c>
      <c r="J28" s="14">
        <f>J26*J27</f>
        <v>3.3050878211641675E-2</v>
      </c>
    </row>
  </sheetData>
  <mergeCells count="3">
    <mergeCell ref="B2:P2"/>
    <mergeCell ref="B6:O6"/>
    <mergeCell ref="B19:O19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  <pageSetUpPr fitToPage="1"/>
  </sheetPr>
  <dimension ref="B2:M4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4" customWidth="1"/>
    <col min="3" max="4" width="16" customWidth="1"/>
    <col min="5" max="5" width="10.21875" customWidth="1"/>
    <col min="6" max="7" width="16" customWidth="1"/>
    <col min="8" max="8" width="5" customWidth="1"/>
    <col min="9" max="9" width="24" customWidth="1"/>
    <col min="10" max="10" width="16" customWidth="1"/>
    <col min="11" max="12" width="14" customWidth="1"/>
    <col min="13" max="13" width="16" customWidth="1"/>
  </cols>
  <sheetData>
    <row r="2" spans="2:13" ht="24" customHeight="1" x14ac:dyDescent="0.3">
      <c r="B2" s="8" t="s">
        <v>194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15" customHeight="1" x14ac:dyDescent="0.3">
      <c r="B4" s="9" t="s">
        <v>195</v>
      </c>
    </row>
    <row r="6" spans="2:13" ht="15" customHeight="1" x14ac:dyDescent="0.3">
      <c r="B6" s="7" t="s">
        <v>196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8" spans="2:13" ht="15" customHeight="1" x14ac:dyDescent="0.3">
      <c r="B8" s="11" t="s">
        <v>108</v>
      </c>
      <c r="C8" s="11" t="s">
        <v>197</v>
      </c>
    </row>
    <row r="9" spans="2:13" ht="15" customHeight="1" x14ac:dyDescent="0.3">
      <c r="B9" s="11" t="s">
        <v>198</v>
      </c>
      <c r="C9" s="31">
        <f>J23</f>
        <v>0.44373351793437465</v>
      </c>
    </row>
    <row r="10" spans="2:13" ht="15" customHeight="1" x14ac:dyDescent="0.3">
      <c r="B10" s="11" t="s">
        <v>199</v>
      </c>
      <c r="C10" s="11" t="s">
        <v>200</v>
      </c>
    </row>
    <row r="12" spans="2:13" ht="15" customHeight="1" x14ac:dyDescent="0.3">
      <c r="B12" s="11" t="s">
        <v>201</v>
      </c>
      <c r="C12" s="42">
        <v>0.75</v>
      </c>
    </row>
    <row r="13" spans="2:13" ht="15" customHeight="1" x14ac:dyDescent="0.3">
      <c r="B13" s="11" t="s">
        <v>202</v>
      </c>
      <c r="C13" s="30">
        <v>1</v>
      </c>
    </row>
    <row r="14" spans="2:13" ht="15" customHeight="1" x14ac:dyDescent="0.3">
      <c r="B14" s="11" t="s">
        <v>203</v>
      </c>
      <c r="C14" s="42">
        <f>1-C12</f>
        <v>0.25</v>
      </c>
    </row>
    <row r="15" spans="2:13" ht="15" customHeight="1" x14ac:dyDescent="0.3">
      <c r="B15" s="11" t="s">
        <v>204</v>
      </c>
      <c r="C15" s="30">
        <f>C9*C12+C13*C14</f>
        <v>0.58280013845078105</v>
      </c>
    </row>
    <row r="18" spans="2:13" ht="15" customHeight="1" x14ac:dyDescent="0.3">
      <c r="B18" s="6" t="s">
        <v>205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ht="15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 ht="15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3" spans="2:13" ht="32.25" customHeight="1" x14ac:dyDescent="0.3">
      <c r="B23" s="10" t="s">
        <v>206</v>
      </c>
      <c r="C23" s="10" t="s">
        <v>207</v>
      </c>
      <c r="D23" s="10" t="s">
        <v>208</v>
      </c>
      <c r="E23" s="10" t="s">
        <v>209</v>
      </c>
      <c r="F23" s="10" t="s">
        <v>210</v>
      </c>
      <c r="G23" s="10"/>
      <c r="I23" s="11" t="s">
        <v>211</v>
      </c>
      <c r="J23" s="11">
        <f>IFERROR(SLOPE(D25:D47,F25:F47),"")</f>
        <v>0.44373351793437465</v>
      </c>
    </row>
    <row r="24" spans="2:13" ht="15" customHeight="1" x14ac:dyDescent="0.3">
      <c r="B24" s="43">
        <v>45566</v>
      </c>
      <c r="C24" s="44">
        <v>1761.28</v>
      </c>
      <c r="E24" s="45">
        <v>24205.35</v>
      </c>
    </row>
    <row r="25" spans="2:13" ht="15" customHeight="1" x14ac:dyDescent="0.3">
      <c r="B25" s="43">
        <v>45597</v>
      </c>
      <c r="C25" s="44">
        <v>1782.87</v>
      </c>
      <c r="D25" s="14">
        <f t="shared" ref="D25:D47" si="0">IFERROR(C25/C24-1,"")</f>
        <v>1.2258130450581328E-2</v>
      </c>
      <c r="E25" s="45">
        <v>24131.1</v>
      </c>
      <c r="F25" s="13">
        <f t="shared" ref="F25:F47" si="1">IFERROR(E25/E24-1,"")</f>
        <v>-3.0675036717089377E-3</v>
      </c>
      <c r="G25" s="11"/>
    </row>
    <row r="26" spans="2:13" ht="15" customHeight="1" x14ac:dyDescent="0.3">
      <c r="B26" s="43">
        <v>45627</v>
      </c>
      <c r="C26" s="44">
        <v>1645.21</v>
      </c>
      <c r="D26" s="14">
        <f t="shared" si="0"/>
        <v>-7.7212584204120249E-2</v>
      </c>
      <c r="E26" s="45">
        <v>23644.799999999999</v>
      </c>
      <c r="F26" s="13">
        <f t="shared" si="1"/>
        <v>-2.0152417419844082E-2</v>
      </c>
      <c r="G26" s="11"/>
    </row>
    <row r="27" spans="2:13" ht="15" customHeight="1" x14ac:dyDescent="0.3">
      <c r="B27" s="43">
        <v>45658</v>
      </c>
      <c r="C27" s="44">
        <v>1500.88</v>
      </c>
      <c r="D27" s="14">
        <f t="shared" si="0"/>
        <v>-8.7727402580825453E-2</v>
      </c>
      <c r="E27" s="45">
        <v>23508.400000000001</v>
      </c>
      <c r="F27" s="13">
        <f t="shared" si="1"/>
        <v>-5.7687102449586192E-3</v>
      </c>
      <c r="G27" s="11"/>
    </row>
    <row r="28" spans="2:13" ht="15" customHeight="1" x14ac:dyDescent="0.3">
      <c r="B28" s="43">
        <v>45689</v>
      </c>
      <c r="C28" s="44">
        <v>1331.55</v>
      </c>
      <c r="D28" s="14">
        <f t="shared" si="0"/>
        <v>-0.11282047865252398</v>
      </c>
      <c r="E28" s="45">
        <v>22124.7</v>
      </c>
      <c r="F28" s="13">
        <f t="shared" si="1"/>
        <v>-5.8859811811948104E-2</v>
      </c>
      <c r="G28" s="11"/>
    </row>
    <row r="29" spans="2:13" ht="15" customHeight="1" x14ac:dyDescent="0.3">
      <c r="B29" s="43">
        <v>45717</v>
      </c>
      <c r="C29" s="44">
        <v>1288.73</v>
      </c>
      <c r="D29" s="14">
        <f t="shared" si="0"/>
        <v>-3.2158011340167381E-2</v>
      </c>
      <c r="E29" s="45">
        <v>23519.35</v>
      </c>
      <c r="F29" s="13">
        <f t="shared" si="1"/>
        <v>6.3035882972424462E-2</v>
      </c>
      <c r="G29" s="11"/>
    </row>
    <row r="30" spans="2:13" ht="15" customHeight="1" x14ac:dyDescent="0.3">
      <c r="B30" s="43">
        <v>45748</v>
      </c>
      <c r="C30" s="44">
        <v>1339.37</v>
      </c>
      <c r="D30" s="14">
        <f t="shared" si="0"/>
        <v>3.9294499235681624E-2</v>
      </c>
      <c r="E30" s="45">
        <v>24334.2</v>
      </c>
      <c r="F30" s="13">
        <f t="shared" si="1"/>
        <v>3.4645940470293679E-2</v>
      </c>
      <c r="G30" s="11"/>
    </row>
    <row r="31" spans="2:13" ht="15" customHeight="1" x14ac:dyDescent="0.3">
      <c r="B31" s="43">
        <v>45778</v>
      </c>
      <c r="C31" s="44">
        <v>1491.71</v>
      </c>
      <c r="D31" s="14">
        <f t="shared" si="0"/>
        <v>0.11374004196002607</v>
      </c>
      <c r="E31" s="45">
        <v>24750.7</v>
      </c>
      <c r="F31" s="13">
        <f t="shared" si="1"/>
        <v>1.7115828751304685E-2</v>
      </c>
      <c r="G31" s="11"/>
    </row>
    <row r="32" spans="2:13" ht="15" customHeight="1" x14ac:dyDescent="0.3">
      <c r="B32" s="43">
        <v>45809</v>
      </c>
      <c r="C32" s="44">
        <v>1500.38</v>
      </c>
      <c r="D32" s="14">
        <f t="shared" si="0"/>
        <v>5.8121216590356628E-3</v>
      </c>
      <c r="E32" s="45">
        <v>25517.05</v>
      </c>
      <c r="F32" s="13">
        <f t="shared" si="1"/>
        <v>3.0962760649193788E-2</v>
      </c>
      <c r="G32" s="11"/>
    </row>
    <row r="33" spans="2:7" ht="15" customHeight="1" x14ac:dyDescent="0.3">
      <c r="B33" s="43">
        <v>45839</v>
      </c>
      <c r="C33" s="44">
        <v>1395.23</v>
      </c>
      <c r="D33" s="14">
        <f t="shared" si="0"/>
        <v>-7.0082245831056156E-2</v>
      </c>
      <c r="E33" s="45">
        <v>24768.35</v>
      </c>
      <c r="F33" s="13">
        <f t="shared" si="1"/>
        <v>-2.9341166004691055E-2</v>
      </c>
      <c r="G33" s="11"/>
    </row>
    <row r="34" spans="2:7" ht="15" customHeight="1" x14ac:dyDescent="0.3">
      <c r="B34" s="43">
        <v>45870</v>
      </c>
      <c r="C34" s="44">
        <v>1356.37</v>
      </c>
      <c r="D34" s="14">
        <f t="shared" si="0"/>
        <v>-2.7852038731965401E-2</v>
      </c>
      <c r="E34" s="45">
        <v>24426.85</v>
      </c>
      <c r="F34" s="13">
        <f t="shared" si="1"/>
        <v>-1.3787757359694952E-2</v>
      </c>
      <c r="G34" s="11"/>
    </row>
    <row r="35" spans="2:7" ht="15" customHeight="1" x14ac:dyDescent="0.3">
      <c r="B35" s="43">
        <v>45901</v>
      </c>
      <c r="C35" s="44">
        <v>1362.95</v>
      </c>
      <c r="D35" s="14">
        <f t="shared" si="0"/>
        <v>4.8511836740714465E-3</v>
      </c>
      <c r="E35" s="45">
        <v>24611.1</v>
      </c>
      <c r="F35" s="13">
        <f t="shared" si="1"/>
        <v>7.5429291947182175E-3</v>
      </c>
      <c r="G35" s="11"/>
    </row>
    <row r="36" spans="2:7" ht="15" customHeight="1" x14ac:dyDescent="0.3">
      <c r="B36" s="43">
        <v>45931</v>
      </c>
      <c r="C36" s="44">
        <v>1446.44</v>
      </c>
      <c r="D36" s="14">
        <f t="shared" si="0"/>
        <v>6.1256832605744993E-2</v>
      </c>
      <c r="E36" s="45">
        <v>25722.1</v>
      </c>
      <c r="F36" s="13">
        <f t="shared" si="1"/>
        <v>4.5142232569856722E-2</v>
      </c>
      <c r="G36" s="11"/>
    </row>
    <row r="37" spans="2:7" ht="15" customHeight="1" x14ac:dyDescent="0.3">
      <c r="B37" s="43">
        <v>45962</v>
      </c>
      <c r="C37" s="44">
        <v>1438.54</v>
      </c>
      <c r="D37" s="14">
        <f t="shared" si="0"/>
        <v>-5.4616852410055428E-3</v>
      </c>
      <c r="E37" s="45">
        <v>26202.95</v>
      </c>
      <c r="F37" s="13">
        <f t="shared" si="1"/>
        <v>1.8694041310779452E-2</v>
      </c>
      <c r="G37" s="11"/>
    </row>
    <row r="38" spans="2:7" ht="15" customHeight="1" x14ac:dyDescent="0.3">
      <c r="B38" s="43">
        <v>45992</v>
      </c>
      <c r="C38" s="44">
        <v>1386.32</v>
      </c>
      <c r="D38" s="14">
        <f t="shared" si="0"/>
        <v>-3.6300693758950064E-2</v>
      </c>
      <c r="E38" s="45">
        <v>26129.599999999999</v>
      </c>
      <c r="F38" s="13">
        <f t="shared" si="1"/>
        <v>-2.7993031318993555E-3</v>
      </c>
      <c r="G38" s="11"/>
    </row>
    <row r="39" spans="2:7" ht="15" customHeight="1" x14ac:dyDescent="0.3">
      <c r="B39" s="43">
        <v>46023</v>
      </c>
      <c r="C39" s="44">
        <v>1474.28</v>
      </c>
      <c r="D39" s="14">
        <f t="shared" si="0"/>
        <v>6.3448554446303929E-2</v>
      </c>
      <c r="E39" s="45">
        <v>25320.65</v>
      </c>
      <c r="F39" s="13">
        <f t="shared" si="1"/>
        <v>-3.0959142122343852E-2</v>
      </c>
      <c r="G39" s="11"/>
    </row>
    <row r="40" spans="2:7" ht="15" customHeight="1" x14ac:dyDescent="0.3">
      <c r="B40" s="43">
        <v>46054</v>
      </c>
      <c r="C40" s="44">
        <v>1665.28</v>
      </c>
      <c r="D40" s="14">
        <f t="shared" si="0"/>
        <v>0.12955476571614621</v>
      </c>
      <c r="E40" s="45">
        <v>25178.65</v>
      </c>
      <c r="F40" s="13">
        <f t="shared" si="1"/>
        <v>-5.6080708828565307E-3</v>
      </c>
      <c r="G40" s="11"/>
    </row>
    <row r="41" spans="2:7" ht="15" customHeight="1" x14ac:dyDescent="0.3">
      <c r="B41" s="43">
        <v>46082</v>
      </c>
      <c r="C41" s="44">
        <v>1596.49</v>
      </c>
      <c r="D41" s="14">
        <f t="shared" si="0"/>
        <v>-4.1308368562644082E-2</v>
      </c>
      <c r="E41" s="45">
        <v>22331.4</v>
      </c>
      <c r="F41" s="13">
        <f t="shared" si="1"/>
        <v>-0.11308191662380629</v>
      </c>
      <c r="G41" s="11"/>
    </row>
    <row r="42" spans="2:7" ht="15" customHeight="1" x14ac:dyDescent="0.3">
      <c r="B42" s="43">
        <v>46113</v>
      </c>
      <c r="C42" s="44">
        <v>1527.3</v>
      </c>
      <c r="D42" s="14">
        <f t="shared" si="0"/>
        <v>-4.3338824546348631E-2</v>
      </c>
      <c r="E42" s="45">
        <v>23997.55</v>
      </c>
      <c r="F42" s="13">
        <f t="shared" si="1"/>
        <v>7.4610190135862453E-2</v>
      </c>
      <c r="G42" s="11"/>
    </row>
    <row r="43" spans="2:7" ht="15" customHeight="1" x14ac:dyDescent="0.3">
      <c r="B43" s="43">
        <v>46143</v>
      </c>
      <c r="C43" s="44">
        <v>1575.72</v>
      </c>
      <c r="D43" s="14">
        <f t="shared" si="0"/>
        <v>3.1703005303476806E-2</v>
      </c>
      <c r="E43" s="45">
        <v>23547.75</v>
      </c>
      <c r="F43" s="13">
        <f t="shared" si="1"/>
        <v>-1.8743580073799171E-2</v>
      </c>
      <c r="G43" s="11"/>
    </row>
    <row r="44" spans="2:7" ht="15" customHeight="1" x14ac:dyDescent="0.3">
      <c r="B44" s="46">
        <v>46174</v>
      </c>
      <c r="C44" s="44">
        <v>1333.5</v>
      </c>
      <c r="D44" s="13">
        <f t="shared" si="0"/>
        <v>-0.15372020409717468</v>
      </c>
      <c r="E44" s="44">
        <v>23865.75</v>
      </c>
      <c r="F44" s="13">
        <f t="shared" si="1"/>
        <v>1.3504474949835865E-2</v>
      </c>
    </row>
    <row r="45" spans="2:7" ht="15" customHeight="1" x14ac:dyDescent="0.3">
      <c r="B45" s="46">
        <v>46204</v>
      </c>
      <c r="C45" s="44">
        <v>1446.33</v>
      </c>
      <c r="D45" s="13">
        <f t="shared" si="0"/>
        <v>8.461192350956126E-2</v>
      </c>
      <c r="E45" s="44">
        <v>24383.599999999999</v>
      </c>
      <c r="F45" s="13">
        <f t="shared" si="1"/>
        <v>2.1698459088861588E-2</v>
      </c>
    </row>
    <row r="46" spans="2:7" ht="15" customHeight="1" x14ac:dyDescent="0.3">
      <c r="B46" s="46">
        <v>46235</v>
      </c>
      <c r="C46" s="44">
        <v>1522.2</v>
      </c>
      <c r="D46" s="13">
        <f t="shared" si="0"/>
        <v>5.2456908174483008E-2</v>
      </c>
      <c r="E46" s="44">
        <v>24080.400000000001</v>
      </c>
      <c r="F46" s="13">
        <f t="shared" si="1"/>
        <v>-1.2434587181548107E-2</v>
      </c>
    </row>
    <row r="47" spans="2:7" ht="15" customHeight="1" x14ac:dyDescent="0.3">
      <c r="B47" s="46">
        <v>46266</v>
      </c>
      <c r="C47" s="44">
        <v>1392</v>
      </c>
      <c r="D47" s="13">
        <f t="shared" si="0"/>
        <v>-8.553409538825385E-2</v>
      </c>
      <c r="E47" s="44">
        <v>23063.1</v>
      </c>
      <c r="F47" s="13">
        <f t="shared" si="1"/>
        <v>-4.2245975980465533E-2</v>
      </c>
    </row>
  </sheetData>
  <mergeCells count="3">
    <mergeCell ref="B2:M2"/>
    <mergeCell ref="B6:M6"/>
    <mergeCell ref="B18:M20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  <pageSetUpPr fitToPage="1"/>
  </sheetPr>
  <dimension ref="B2:M4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4" customWidth="1"/>
    <col min="3" max="4" width="16" customWidth="1"/>
    <col min="5" max="5" width="10.21875" customWidth="1"/>
    <col min="6" max="7" width="16" customWidth="1"/>
    <col min="8" max="8" width="5" customWidth="1"/>
    <col min="9" max="9" width="24" customWidth="1"/>
    <col min="10" max="10" width="16" customWidth="1"/>
    <col min="11" max="12" width="14" customWidth="1"/>
    <col min="13" max="13" width="16" customWidth="1"/>
  </cols>
  <sheetData>
    <row r="2" spans="2:13" ht="24" customHeight="1" x14ac:dyDescent="0.3">
      <c r="B2" s="8" t="s">
        <v>212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15" customHeight="1" x14ac:dyDescent="0.3">
      <c r="B4" s="9" t="s">
        <v>195</v>
      </c>
    </row>
    <row r="6" spans="2:13" ht="15" customHeight="1" x14ac:dyDescent="0.3">
      <c r="B6" s="7" t="s">
        <v>196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8" spans="2:13" ht="15" customHeight="1" x14ac:dyDescent="0.3">
      <c r="B8" s="11" t="s">
        <v>108</v>
      </c>
      <c r="C8" s="11" t="s">
        <v>213</v>
      </c>
    </row>
    <row r="9" spans="2:13" ht="15" customHeight="1" x14ac:dyDescent="0.3">
      <c r="B9" s="11" t="s">
        <v>198</v>
      </c>
      <c r="C9" s="31">
        <f>J23</f>
        <v>0.41814711281977296</v>
      </c>
    </row>
    <row r="10" spans="2:13" ht="15" customHeight="1" x14ac:dyDescent="0.3">
      <c r="B10" s="11" t="s">
        <v>199</v>
      </c>
      <c r="C10" s="11" t="s">
        <v>200</v>
      </c>
    </row>
    <row r="12" spans="2:13" ht="15" customHeight="1" x14ac:dyDescent="0.3">
      <c r="B12" s="11" t="s">
        <v>201</v>
      </c>
      <c r="C12" s="42">
        <v>0.75</v>
      </c>
    </row>
    <row r="13" spans="2:13" ht="15" customHeight="1" x14ac:dyDescent="0.3">
      <c r="B13" s="11" t="s">
        <v>202</v>
      </c>
      <c r="C13" s="30">
        <v>1</v>
      </c>
    </row>
    <row r="14" spans="2:13" ht="15" customHeight="1" x14ac:dyDescent="0.3">
      <c r="B14" s="11" t="s">
        <v>203</v>
      </c>
      <c r="C14" s="42">
        <f>1-C12</f>
        <v>0.25</v>
      </c>
    </row>
    <row r="15" spans="2:13" ht="15" customHeight="1" x14ac:dyDescent="0.3">
      <c r="B15" s="11" t="s">
        <v>204</v>
      </c>
      <c r="C15" s="30">
        <f>C9*C12+C13*C14</f>
        <v>0.56361033461482979</v>
      </c>
    </row>
    <row r="18" spans="2:13" ht="15" customHeight="1" x14ac:dyDescent="0.3">
      <c r="B18" s="6" t="s">
        <v>205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ht="15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 ht="15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3" spans="2:13" ht="32.25" customHeight="1" x14ac:dyDescent="0.3">
      <c r="B23" s="10" t="s">
        <v>206</v>
      </c>
      <c r="C23" s="10" t="s">
        <v>207</v>
      </c>
      <c r="D23" s="10" t="s">
        <v>208</v>
      </c>
      <c r="E23" s="10" t="s">
        <v>209</v>
      </c>
      <c r="F23" s="10" t="s">
        <v>210</v>
      </c>
      <c r="G23" s="10"/>
      <c r="I23" s="11" t="s">
        <v>211</v>
      </c>
      <c r="J23" s="11">
        <f>IFERROR(SLOPE(D25:D47,F25:F47),"")</f>
        <v>0.41814711281977296</v>
      </c>
    </row>
    <row r="24" spans="2:13" ht="15" customHeight="1" x14ac:dyDescent="0.3">
      <c r="B24" s="43">
        <v>45566</v>
      </c>
      <c r="C24" s="44">
        <v>4229.3100000000004</v>
      </c>
      <c r="E24" s="45">
        <v>24205.35</v>
      </c>
    </row>
    <row r="25" spans="2:13" ht="15" customHeight="1" x14ac:dyDescent="0.3">
      <c r="B25" s="43">
        <v>45597</v>
      </c>
      <c r="C25" s="44">
        <v>4580.2299999999996</v>
      </c>
      <c r="D25" s="14">
        <f t="shared" ref="D25:D47" si="0">IFERROR(C25/C24-1,"")</f>
        <v>8.2973345533904785E-2</v>
      </c>
      <c r="E25" s="45">
        <v>24131.1</v>
      </c>
      <c r="F25" s="13">
        <f t="shared" ref="F25:F47" si="1">IFERROR(E25/E24-1,"")</f>
        <v>-3.0675036717089377E-3</v>
      </c>
      <c r="G25" s="11"/>
    </row>
    <row r="26" spans="2:13" ht="15" customHeight="1" x14ac:dyDescent="0.3">
      <c r="B26" s="43">
        <v>45627</v>
      </c>
      <c r="C26" s="44">
        <v>4628.93</v>
      </c>
      <c r="D26" s="14">
        <f t="shared" si="0"/>
        <v>1.0632653818694937E-2</v>
      </c>
      <c r="E26" s="45">
        <v>23644.799999999999</v>
      </c>
      <c r="F26" s="13">
        <f t="shared" si="1"/>
        <v>-2.0152417419844082E-2</v>
      </c>
      <c r="G26" s="11"/>
    </row>
    <row r="27" spans="2:13" ht="15" customHeight="1" x14ac:dyDescent="0.3">
      <c r="B27" s="43">
        <v>45658</v>
      </c>
      <c r="C27" s="44">
        <v>3908.33</v>
      </c>
      <c r="D27" s="14">
        <f t="shared" si="0"/>
        <v>-0.15567312532269884</v>
      </c>
      <c r="E27" s="45">
        <v>23508.400000000001</v>
      </c>
      <c r="F27" s="13">
        <f t="shared" si="1"/>
        <v>-5.7687102449586192E-3</v>
      </c>
      <c r="G27" s="11"/>
    </row>
    <row r="28" spans="2:13" ht="15" customHeight="1" x14ac:dyDescent="0.3">
      <c r="B28" s="43">
        <v>45689</v>
      </c>
      <c r="C28" s="44">
        <v>3278.28</v>
      </c>
      <c r="D28" s="14">
        <f t="shared" si="0"/>
        <v>-0.16120696051766348</v>
      </c>
      <c r="E28" s="45">
        <v>22124.7</v>
      </c>
      <c r="F28" s="13">
        <f t="shared" si="1"/>
        <v>-5.8859811811948104E-2</v>
      </c>
      <c r="G28" s="11"/>
    </row>
    <row r="29" spans="2:13" ht="15" customHeight="1" x14ac:dyDescent="0.3">
      <c r="B29" s="43">
        <v>45717</v>
      </c>
      <c r="C29" s="44">
        <v>3374.04</v>
      </c>
      <c r="D29" s="14">
        <f t="shared" si="0"/>
        <v>2.9210439620776629E-2</v>
      </c>
      <c r="E29" s="45">
        <v>23519.35</v>
      </c>
      <c r="F29" s="13">
        <f t="shared" si="1"/>
        <v>6.3035882972424462E-2</v>
      </c>
      <c r="G29" s="11"/>
    </row>
    <row r="30" spans="2:13" ht="15" customHeight="1" x14ac:dyDescent="0.3">
      <c r="B30" s="43">
        <v>45748</v>
      </c>
      <c r="C30" s="44">
        <v>3485.08</v>
      </c>
      <c r="D30" s="14">
        <f t="shared" si="0"/>
        <v>3.2910101836374217E-2</v>
      </c>
      <c r="E30" s="45">
        <v>24334.2</v>
      </c>
      <c r="F30" s="13">
        <f t="shared" si="1"/>
        <v>3.4645940470293679E-2</v>
      </c>
      <c r="G30" s="11"/>
    </row>
    <row r="31" spans="2:13" ht="15" customHeight="1" x14ac:dyDescent="0.3">
      <c r="B31" s="43">
        <v>45778</v>
      </c>
      <c r="C31" s="44">
        <v>4083.02</v>
      </c>
      <c r="D31" s="14">
        <f t="shared" si="0"/>
        <v>0.17157138430107777</v>
      </c>
      <c r="E31" s="45">
        <v>24750.7</v>
      </c>
      <c r="F31" s="13">
        <f t="shared" si="1"/>
        <v>1.7115828751304685E-2</v>
      </c>
      <c r="G31" s="11"/>
    </row>
    <row r="32" spans="2:13" ht="15" customHeight="1" x14ac:dyDescent="0.3">
      <c r="B32" s="43">
        <v>45809</v>
      </c>
      <c r="C32" s="44">
        <v>4347.9799999999996</v>
      </c>
      <c r="D32" s="14">
        <f t="shared" si="0"/>
        <v>6.489314282075509E-2</v>
      </c>
      <c r="E32" s="45">
        <v>25517.05</v>
      </c>
      <c r="F32" s="13">
        <f t="shared" si="1"/>
        <v>3.0962760649193788E-2</v>
      </c>
      <c r="G32" s="11"/>
    </row>
    <row r="33" spans="2:7" ht="15" customHeight="1" x14ac:dyDescent="0.3">
      <c r="B33" s="43">
        <v>45839</v>
      </c>
      <c r="C33" s="44">
        <v>4264.32</v>
      </c>
      <c r="D33" s="14">
        <f t="shared" si="0"/>
        <v>-1.924111886439217E-2</v>
      </c>
      <c r="E33" s="45">
        <v>24768.35</v>
      </c>
      <c r="F33" s="13">
        <f t="shared" si="1"/>
        <v>-2.9341166004691055E-2</v>
      </c>
      <c r="G33" s="11"/>
    </row>
    <row r="34" spans="2:7" ht="15" customHeight="1" x14ac:dyDescent="0.3">
      <c r="B34" s="43">
        <v>45870</v>
      </c>
      <c r="C34" s="44">
        <v>4427</v>
      </c>
      <c r="D34" s="14">
        <f t="shared" si="0"/>
        <v>3.8149107008854877E-2</v>
      </c>
      <c r="E34" s="45">
        <v>24426.85</v>
      </c>
      <c r="F34" s="13">
        <f t="shared" si="1"/>
        <v>-1.3787757359694952E-2</v>
      </c>
      <c r="G34" s="11"/>
    </row>
    <row r="35" spans="2:7" ht="15" customHeight="1" x14ac:dyDescent="0.3">
      <c r="B35" s="43">
        <v>45901</v>
      </c>
      <c r="C35" s="44">
        <v>4177.88</v>
      </c>
      <c r="D35" s="14">
        <f t="shared" si="0"/>
        <v>-5.627287101874856E-2</v>
      </c>
      <c r="E35" s="45">
        <v>24611.1</v>
      </c>
      <c r="F35" s="13">
        <f t="shared" si="1"/>
        <v>7.5429291947182175E-3</v>
      </c>
      <c r="G35" s="11"/>
    </row>
    <row r="36" spans="2:7" ht="15" customHeight="1" x14ac:dyDescent="0.3">
      <c r="B36" s="43">
        <v>45931</v>
      </c>
      <c r="C36" s="44">
        <v>3774.81</v>
      </c>
      <c r="D36" s="14">
        <f t="shared" si="0"/>
        <v>-9.6477160665217832E-2</v>
      </c>
      <c r="E36" s="45">
        <v>25722.1</v>
      </c>
      <c r="F36" s="13">
        <f t="shared" si="1"/>
        <v>4.5142232569856722E-2</v>
      </c>
      <c r="G36" s="11"/>
    </row>
    <row r="37" spans="2:7" ht="15" customHeight="1" x14ac:dyDescent="0.3">
      <c r="B37" s="43">
        <v>45962</v>
      </c>
      <c r="C37" s="44">
        <v>3367.79</v>
      </c>
      <c r="D37" s="14">
        <f t="shared" si="0"/>
        <v>-0.10782529451813472</v>
      </c>
      <c r="E37" s="45">
        <v>26202.95</v>
      </c>
      <c r="F37" s="13">
        <f t="shared" si="1"/>
        <v>1.8694041310779452E-2</v>
      </c>
      <c r="G37" s="11"/>
    </row>
    <row r="38" spans="2:7" ht="15" customHeight="1" x14ac:dyDescent="0.3">
      <c r="B38" s="43">
        <v>45992</v>
      </c>
      <c r="C38" s="44">
        <v>3330.25</v>
      </c>
      <c r="D38" s="14">
        <f t="shared" si="0"/>
        <v>-1.1146775778774765E-2</v>
      </c>
      <c r="E38" s="45">
        <v>26129.599999999999</v>
      </c>
      <c r="F38" s="13">
        <f t="shared" si="1"/>
        <v>-2.7993031318993555E-3</v>
      </c>
      <c r="G38" s="11"/>
    </row>
    <row r="39" spans="2:7" ht="15" customHeight="1" x14ac:dyDescent="0.3">
      <c r="B39" s="43">
        <v>46023</v>
      </c>
      <c r="C39" s="44">
        <v>3488.83</v>
      </c>
      <c r="D39" s="14">
        <f t="shared" si="0"/>
        <v>4.7618046693191252E-2</v>
      </c>
      <c r="E39" s="45">
        <v>25320.65</v>
      </c>
      <c r="F39" s="13">
        <f t="shared" si="1"/>
        <v>-3.0959142122343852E-2</v>
      </c>
      <c r="G39" s="11"/>
    </row>
    <row r="40" spans="2:7" ht="15" customHeight="1" x14ac:dyDescent="0.3">
      <c r="B40" s="43">
        <v>46054</v>
      </c>
      <c r="C40" s="44">
        <v>3947.29</v>
      </c>
      <c r="D40" s="14">
        <f t="shared" si="0"/>
        <v>0.13140795051636234</v>
      </c>
      <c r="E40" s="45">
        <v>25178.65</v>
      </c>
      <c r="F40" s="13">
        <f t="shared" si="1"/>
        <v>-5.6080708828565307E-3</v>
      </c>
      <c r="G40" s="11"/>
    </row>
    <row r="41" spans="2:7" ht="15" customHeight="1" x14ac:dyDescent="0.3">
      <c r="B41" s="43">
        <v>46082</v>
      </c>
      <c r="C41" s="44">
        <v>3718.8</v>
      </c>
      <c r="D41" s="14">
        <f t="shared" si="0"/>
        <v>-5.7885283320961878E-2</v>
      </c>
      <c r="E41" s="45">
        <v>22331.4</v>
      </c>
      <c r="F41" s="13">
        <f t="shared" si="1"/>
        <v>-0.11308191662380629</v>
      </c>
      <c r="G41" s="11"/>
    </row>
    <row r="42" spans="2:7" ht="15" customHeight="1" x14ac:dyDescent="0.3">
      <c r="B42" s="43">
        <v>46113</v>
      </c>
      <c r="C42" s="44">
        <v>3597.16</v>
      </c>
      <c r="D42" s="14">
        <f t="shared" si="0"/>
        <v>-3.270947617511033E-2</v>
      </c>
      <c r="E42" s="45">
        <v>23997.55</v>
      </c>
      <c r="F42" s="13">
        <f t="shared" si="1"/>
        <v>7.4610190135862453E-2</v>
      </c>
      <c r="G42" s="11"/>
    </row>
    <row r="43" spans="2:7" ht="15" customHeight="1" x14ac:dyDescent="0.3">
      <c r="B43" s="43">
        <v>46143</v>
      </c>
      <c r="C43" s="44">
        <v>3524.08</v>
      </c>
      <c r="D43" s="14">
        <f t="shared" si="0"/>
        <v>-2.0316027088036148E-2</v>
      </c>
      <c r="E43" s="45">
        <v>23547.75</v>
      </c>
      <c r="F43" s="13">
        <f t="shared" si="1"/>
        <v>-1.8743580073799171E-2</v>
      </c>
      <c r="G43" s="11"/>
    </row>
    <row r="44" spans="2:7" ht="15" customHeight="1" x14ac:dyDescent="0.3">
      <c r="B44" s="46">
        <v>46174</v>
      </c>
      <c r="C44" s="44">
        <v>3157.8</v>
      </c>
      <c r="D44" s="13">
        <f t="shared" si="0"/>
        <v>-0.1039363465074572</v>
      </c>
      <c r="E44" s="44">
        <v>23865.75</v>
      </c>
      <c r="F44" s="13">
        <f t="shared" si="1"/>
        <v>1.3504474949835865E-2</v>
      </c>
    </row>
    <row r="45" spans="2:7" ht="15" customHeight="1" x14ac:dyDescent="0.3">
      <c r="B45" s="46">
        <v>46204</v>
      </c>
      <c r="C45" s="44">
        <v>3465.4</v>
      </c>
      <c r="D45" s="13">
        <f t="shared" si="0"/>
        <v>9.7409588954335158E-2</v>
      </c>
      <c r="E45" s="44">
        <v>24383.599999999999</v>
      </c>
      <c r="F45" s="13">
        <f t="shared" si="1"/>
        <v>2.1698459088861588E-2</v>
      </c>
    </row>
    <row r="46" spans="2:7" ht="15" customHeight="1" x14ac:dyDescent="0.3">
      <c r="B46" s="46">
        <v>46235</v>
      </c>
      <c r="C46" s="44">
        <v>3559</v>
      </c>
      <c r="D46" s="13">
        <f t="shared" si="0"/>
        <v>2.7009868990592656E-2</v>
      </c>
      <c r="E46" s="44">
        <v>24080.400000000001</v>
      </c>
      <c r="F46" s="13">
        <f t="shared" si="1"/>
        <v>-1.2434587181548107E-2</v>
      </c>
    </row>
    <row r="47" spans="2:7" ht="15" customHeight="1" x14ac:dyDescent="0.3">
      <c r="B47" s="46">
        <v>46266</v>
      </c>
      <c r="C47" s="44">
        <v>3434</v>
      </c>
      <c r="D47" s="13">
        <f t="shared" si="0"/>
        <v>-3.5122225344197844E-2</v>
      </c>
      <c r="E47" s="44">
        <v>23063.1</v>
      </c>
      <c r="F47" s="13">
        <f t="shared" si="1"/>
        <v>-4.2245975980465533E-2</v>
      </c>
    </row>
  </sheetData>
  <mergeCells count="3">
    <mergeCell ref="B2:M2"/>
    <mergeCell ref="B6:M6"/>
    <mergeCell ref="B18:M20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  <pageSetUpPr fitToPage="1"/>
  </sheetPr>
  <dimension ref="B2:M4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4" customWidth="1"/>
    <col min="3" max="4" width="16" customWidth="1"/>
    <col min="5" max="5" width="10.21875" customWidth="1"/>
    <col min="6" max="7" width="16" customWidth="1"/>
    <col min="8" max="8" width="5" customWidth="1"/>
    <col min="9" max="9" width="24" customWidth="1"/>
    <col min="10" max="10" width="16" customWidth="1"/>
    <col min="11" max="12" width="14" customWidth="1"/>
    <col min="13" max="13" width="16" customWidth="1"/>
  </cols>
  <sheetData>
    <row r="2" spans="2:13" ht="24" customHeight="1" x14ac:dyDescent="0.3">
      <c r="B2" s="8" t="s">
        <v>214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15" customHeight="1" x14ac:dyDescent="0.3">
      <c r="B4" s="9" t="s">
        <v>195</v>
      </c>
    </row>
    <row r="6" spans="2:13" ht="15" customHeight="1" x14ac:dyDescent="0.3">
      <c r="B6" s="7" t="s">
        <v>196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8" spans="2:13" ht="15" customHeight="1" x14ac:dyDescent="0.3">
      <c r="B8" s="11" t="s">
        <v>108</v>
      </c>
      <c r="C8" s="11" t="s">
        <v>215</v>
      </c>
    </row>
    <row r="9" spans="2:13" ht="15" customHeight="1" x14ac:dyDescent="0.3">
      <c r="B9" s="11" t="s">
        <v>198</v>
      </c>
      <c r="C9" s="31">
        <f>J23</f>
        <v>1.1765928542096169</v>
      </c>
    </row>
    <row r="10" spans="2:13" ht="15" customHeight="1" x14ac:dyDescent="0.3">
      <c r="B10" s="11" t="s">
        <v>199</v>
      </c>
      <c r="C10" s="11" t="s">
        <v>200</v>
      </c>
    </row>
    <row r="12" spans="2:13" ht="15" customHeight="1" x14ac:dyDescent="0.3">
      <c r="B12" s="11" t="s">
        <v>201</v>
      </c>
      <c r="C12" s="42">
        <v>0.75</v>
      </c>
    </row>
    <row r="13" spans="2:13" ht="15" customHeight="1" x14ac:dyDescent="0.3">
      <c r="B13" s="11" t="s">
        <v>202</v>
      </c>
      <c r="C13" s="30">
        <v>1</v>
      </c>
    </row>
    <row r="14" spans="2:13" ht="15" customHeight="1" x14ac:dyDescent="0.3">
      <c r="B14" s="11" t="s">
        <v>203</v>
      </c>
      <c r="C14" s="42">
        <f>1-C12</f>
        <v>0.25</v>
      </c>
    </row>
    <row r="15" spans="2:13" ht="15" customHeight="1" x14ac:dyDescent="0.3">
      <c r="B15" s="11" t="s">
        <v>204</v>
      </c>
      <c r="C15" s="30">
        <f>C9*C12+C13*C14</f>
        <v>1.1324446406572126</v>
      </c>
    </row>
    <row r="18" spans="2:13" ht="15" customHeight="1" x14ac:dyDescent="0.3">
      <c r="B18" s="6" t="s">
        <v>205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ht="15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 ht="15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3" spans="2:13" ht="32.25" customHeight="1" x14ac:dyDescent="0.3">
      <c r="B23" s="10" t="s">
        <v>206</v>
      </c>
      <c r="C23" s="10" t="s">
        <v>207</v>
      </c>
      <c r="D23" s="10" t="s">
        <v>208</v>
      </c>
      <c r="E23" s="10" t="s">
        <v>209</v>
      </c>
      <c r="F23" s="10" t="s">
        <v>210</v>
      </c>
      <c r="G23" s="10"/>
      <c r="I23" s="11" t="s">
        <v>211</v>
      </c>
      <c r="J23" s="11">
        <f>IFERROR(SLOPE(D25:D47,F25:F47),"")</f>
        <v>1.1765928542096169</v>
      </c>
    </row>
    <row r="24" spans="2:13" ht="15" customHeight="1" x14ac:dyDescent="0.3">
      <c r="B24" s="43">
        <v>45566</v>
      </c>
      <c r="C24" s="44">
        <v>2874.37</v>
      </c>
      <c r="E24" s="45">
        <v>24205.35</v>
      </c>
    </row>
    <row r="25" spans="2:13" ht="15" customHeight="1" x14ac:dyDescent="0.3">
      <c r="B25" s="43">
        <v>45597</v>
      </c>
      <c r="C25" s="44">
        <v>2432</v>
      </c>
      <c r="D25" s="14">
        <f t="shared" ref="D25:D47" si="0">IFERROR(C25/C24-1,"")</f>
        <v>-0.15390155060065336</v>
      </c>
      <c r="E25" s="45">
        <v>24131.1</v>
      </c>
      <c r="F25" s="13">
        <f t="shared" ref="F25:F47" si="1">IFERROR(E25/E24-1,"")</f>
        <v>-3.0675036717089377E-3</v>
      </c>
      <c r="G25" s="11"/>
    </row>
    <row r="26" spans="2:13" ht="15" customHeight="1" x14ac:dyDescent="0.3">
      <c r="B26" s="43">
        <v>45627</v>
      </c>
      <c r="C26" s="44">
        <v>2237.56</v>
      </c>
      <c r="D26" s="14">
        <f t="shared" si="0"/>
        <v>-7.9950657894736876E-2</v>
      </c>
      <c r="E26" s="45">
        <v>23644.799999999999</v>
      </c>
      <c r="F26" s="13">
        <f t="shared" si="1"/>
        <v>-2.0152417419844082E-2</v>
      </c>
      <c r="G26" s="11"/>
    </row>
    <row r="27" spans="2:13" ht="15" customHeight="1" x14ac:dyDescent="0.3">
      <c r="B27" s="43">
        <v>45658</v>
      </c>
      <c r="C27" s="44">
        <v>2256.64</v>
      </c>
      <c r="D27" s="14">
        <f t="shared" si="0"/>
        <v>8.5271456407871593E-3</v>
      </c>
      <c r="E27" s="45">
        <v>23508.400000000001</v>
      </c>
      <c r="F27" s="13">
        <f t="shared" si="1"/>
        <v>-5.7687102449586192E-3</v>
      </c>
      <c r="G27" s="11"/>
    </row>
    <row r="28" spans="2:13" ht="15" customHeight="1" x14ac:dyDescent="0.3">
      <c r="B28" s="43">
        <v>45689</v>
      </c>
      <c r="C28" s="44">
        <v>2137.91</v>
      </c>
      <c r="D28" s="14">
        <f t="shared" si="0"/>
        <v>-5.2613620249574611E-2</v>
      </c>
      <c r="E28" s="45">
        <v>22124.7</v>
      </c>
      <c r="F28" s="13">
        <f t="shared" si="1"/>
        <v>-5.8859811811948104E-2</v>
      </c>
      <c r="G28" s="11"/>
    </row>
    <row r="29" spans="2:13" ht="15" customHeight="1" x14ac:dyDescent="0.3">
      <c r="B29" s="43">
        <v>45717</v>
      </c>
      <c r="C29" s="44">
        <v>2295.7199999999998</v>
      </c>
      <c r="D29" s="14">
        <f t="shared" si="0"/>
        <v>7.3815081083862255E-2</v>
      </c>
      <c r="E29" s="45">
        <v>23519.35</v>
      </c>
      <c r="F29" s="13">
        <f t="shared" si="1"/>
        <v>6.3035882972424462E-2</v>
      </c>
      <c r="G29" s="11"/>
    </row>
    <row r="30" spans="2:13" ht="15" customHeight="1" x14ac:dyDescent="0.3">
      <c r="B30" s="43">
        <v>45748</v>
      </c>
      <c r="C30" s="44">
        <v>2379.14</v>
      </c>
      <c r="D30" s="14">
        <f t="shared" si="0"/>
        <v>3.6337183977140031E-2</v>
      </c>
      <c r="E30" s="45">
        <v>24334.2</v>
      </c>
      <c r="F30" s="13">
        <f t="shared" si="1"/>
        <v>3.4645940470293679E-2</v>
      </c>
      <c r="G30" s="11"/>
    </row>
    <row r="31" spans="2:13" ht="15" customHeight="1" x14ac:dyDescent="0.3">
      <c r="B31" s="43">
        <v>45778</v>
      </c>
      <c r="C31" s="44">
        <v>2215.7399999999998</v>
      </c>
      <c r="D31" s="14">
        <f t="shared" si="0"/>
        <v>-6.8680279428701141E-2</v>
      </c>
      <c r="E31" s="45">
        <v>24750.7</v>
      </c>
      <c r="F31" s="13">
        <f t="shared" si="1"/>
        <v>1.7115828751304685E-2</v>
      </c>
      <c r="G31" s="11"/>
    </row>
    <row r="32" spans="2:13" ht="15" customHeight="1" x14ac:dyDescent="0.3">
      <c r="B32" s="43">
        <v>45809</v>
      </c>
      <c r="C32" s="44">
        <v>2317.35</v>
      </c>
      <c r="D32" s="14">
        <f t="shared" si="0"/>
        <v>4.5858268569417104E-2</v>
      </c>
      <c r="E32" s="45">
        <v>25517.05</v>
      </c>
      <c r="F32" s="13">
        <f t="shared" si="1"/>
        <v>3.0962760649193788E-2</v>
      </c>
      <c r="G32" s="11"/>
    </row>
    <row r="33" spans="2:7" ht="15" customHeight="1" x14ac:dyDescent="0.3">
      <c r="B33" s="43">
        <v>45839</v>
      </c>
      <c r="C33" s="44">
        <v>2371.79</v>
      </c>
      <c r="D33" s="14">
        <f t="shared" si="0"/>
        <v>2.3492351176990889E-2</v>
      </c>
      <c r="E33" s="45">
        <v>24768.35</v>
      </c>
      <c r="F33" s="13">
        <f t="shared" si="1"/>
        <v>-2.9341166004691055E-2</v>
      </c>
      <c r="G33" s="11"/>
    </row>
    <row r="34" spans="2:7" ht="15" customHeight="1" x14ac:dyDescent="0.3">
      <c r="B34" s="43">
        <v>45870</v>
      </c>
      <c r="C34" s="44">
        <v>2493.0500000000002</v>
      </c>
      <c r="D34" s="14">
        <f t="shared" si="0"/>
        <v>5.1125942853288198E-2</v>
      </c>
      <c r="E34" s="45">
        <v>24426.85</v>
      </c>
      <c r="F34" s="13">
        <f t="shared" si="1"/>
        <v>-1.3787757359694952E-2</v>
      </c>
      <c r="G34" s="11"/>
    </row>
    <row r="35" spans="2:7" ht="15" customHeight="1" x14ac:dyDescent="0.3">
      <c r="B35" s="43">
        <v>45901</v>
      </c>
      <c r="C35" s="44">
        <v>2326.16</v>
      </c>
      <c r="D35" s="14">
        <f t="shared" si="0"/>
        <v>-6.6942099035318336E-2</v>
      </c>
      <c r="E35" s="45">
        <v>24611.1</v>
      </c>
      <c r="F35" s="13">
        <f t="shared" si="1"/>
        <v>7.5429291947182175E-3</v>
      </c>
      <c r="G35" s="11"/>
    </row>
    <row r="36" spans="2:7" ht="15" customHeight="1" x14ac:dyDescent="0.3">
      <c r="B36" s="43">
        <v>45931</v>
      </c>
      <c r="C36" s="44">
        <v>2485.3200000000002</v>
      </c>
      <c r="D36" s="14">
        <f t="shared" si="0"/>
        <v>6.8421776661966582E-2</v>
      </c>
      <c r="E36" s="45">
        <v>25722.1</v>
      </c>
      <c r="F36" s="13">
        <f t="shared" si="1"/>
        <v>4.5142232569856722E-2</v>
      </c>
      <c r="G36" s="11"/>
    </row>
    <row r="37" spans="2:7" ht="15" customHeight="1" x14ac:dyDescent="0.3">
      <c r="B37" s="43">
        <v>45962</v>
      </c>
      <c r="C37" s="44">
        <v>2849.68</v>
      </c>
      <c r="D37" s="14">
        <f t="shared" si="0"/>
        <v>0.14660486375999859</v>
      </c>
      <c r="E37" s="45">
        <v>26202.95</v>
      </c>
      <c r="F37" s="13">
        <f t="shared" si="1"/>
        <v>1.8694041310779452E-2</v>
      </c>
      <c r="G37" s="11"/>
    </row>
    <row r="38" spans="2:7" ht="15" customHeight="1" x14ac:dyDescent="0.3">
      <c r="B38" s="43">
        <v>45992</v>
      </c>
      <c r="C38" s="44">
        <v>2745.68</v>
      </c>
      <c r="D38" s="14">
        <f t="shared" si="0"/>
        <v>-3.6495325790966038E-2</v>
      </c>
      <c r="E38" s="45">
        <v>26129.599999999999</v>
      </c>
      <c r="F38" s="13">
        <f t="shared" si="1"/>
        <v>-2.7993031318993555E-3</v>
      </c>
      <c r="G38" s="11"/>
    </row>
    <row r="39" spans="2:7" ht="15" customHeight="1" x14ac:dyDescent="0.3">
      <c r="B39" s="43">
        <v>46023</v>
      </c>
      <c r="C39" s="44">
        <v>2407.41</v>
      </c>
      <c r="D39" s="14">
        <f t="shared" si="0"/>
        <v>-0.12320080999970862</v>
      </c>
      <c r="E39" s="45">
        <v>25320.65</v>
      </c>
      <c r="F39" s="13">
        <f t="shared" si="1"/>
        <v>-3.0959142122343852E-2</v>
      </c>
      <c r="G39" s="11"/>
    </row>
    <row r="40" spans="2:7" ht="15" customHeight="1" x14ac:dyDescent="0.3">
      <c r="B40" s="43">
        <v>46054</v>
      </c>
      <c r="C40" s="44">
        <v>2355.7600000000002</v>
      </c>
      <c r="D40" s="14">
        <f t="shared" si="0"/>
        <v>-2.1454592279669726E-2</v>
      </c>
      <c r="E40" s="45">
        <v>25178.65</v>
      </c>
      <c r="F40" s="13">
        <f t="shared" si="1"/>
        <v>-5.6080708828565307E-3</v>
      </c>
      <c r="G40" s="11"/>
    </row>
    <row r="41" spans="2:7" ht="15" customHeight="1" x14ac:dyDescent="0.3">
      <c r="B41" s="43">
        <v>46082</v>
      </c>
      <c r="C41" s="44">
        <v>2146.58</v>
      </c>
      <c r="D41" s="14">
        <f t="shared" si="0"/>
        <v>-8.8795123442116486E-2</v>
      </c>
      <c r="E41" s="45">
        <v>22331.4</v>
      </c>
      <c r="F41" s="13">
        <f t="shared" si="1"/>
        <v>-0.11308191662380629</v>
      </c>
      <c r="G41" s="11"/>
    </row>
    <row r="42" spans="2:7" ht="15" customHeight="1" x14ac:dyDescent="0.3">
      <c r="B42" s="43">
        <v>46113</v>
      </c>
      <c r="C42" s="44">
        <v>2423.4699999999998</v>
      </c>
      <c r="D42" s="14">
        <f t="shared" si="0"/>
        <v>0.12899123256528977</v>
      </c>
      <c r="E42" s="45">
        <v>23997.55</v>
      </c>
      <c r="F42" s="13">
        <f t="shared" si="1"/>
        <v>7.4610190135862453E-2</v>
      </c>
      <c r="G42" s="11"/>
    </row>
    <row r="43" spans="2:7" ht="15" customHeight="1" x14ac:dyDescent="0.3">
      <c r="B43" s="43">
        <v>46143</v>
      </c>
      <c r="C43" s="44">
        <v>2648.62</v>
      </c>
      <c r="D43" s="14">
        <f t="shared" si="0"/>
        <v>9.290397652952187E-2</v>
      </c>
      <c r="E43" s="45">
        <v>23547.75</v>
      </c>
      <c r="F43" s="13">
        <f t="shared" si="1"/>
        <v>-1.8743580073799171E-2</v>
      </c>
      <c r="G43" s="11"/>
    </row>
    <row r="44" spans="2:7" ht="15" customHeight="1" x14ac:dyDescent="0.3">
      <c r="B44" s="46">
        <v>46174</v>
      </c>
      <c r="C44" s="44">
        <v>2635.7</v>
      </c>
      <c r="D44" s="13">
        <f t="shared" si="0"/>
        <v>-4.8780119458434745E-3</v>
      </c>
      <c r="E44" s="44">
        <v>23865.75</v>
      </c>
      <c r="F44" s="13">
        <f t="shared" si="1"/>
        <v>1.3504474949835865E-2</v>
      </c>
    </row>
    <row r="45" spans="2:7" ht="15" customHeight="1" x14ac:dyDescent="0.3">
      <c r="B45" s="46">
        <v>46204</v>
      </c>
      <c r="C45" s="44">
        <v>2747.3</v>
      </c>
      <c r="D45" s="13">
        <f t="shared" si="0"/>
        <v>4.2341692908904882E-2</v>
      </c>
      <c r="E45" s="44">
        <v>24383.599999999999</v>
      </c>
      <c r="F45" s="13">
        <f t="shared" si="1"/>
        <v>2.1698459088861588E-2</v>
      </c>
    </row>
    <row r="46" spans="2:7" ht="15" customHeight="1" x14ac:dyDescent="0.3">
      <c r="B46" s="46">
        <v>46235</v>
      </c>
      <c r="C46" s="44">
        <v>2653.6</v>
      </c>
      <c r="D46" s="13">
        <f t="shared" si="0"/>
        <v>-3.4106213373130134E-2</v>
      </c>
      <c r="E46" s="44">
        <v>24080.400000000001</v>
      </c>
      <c r="F46" s="13">
        <f t="shared" si="1"/>
        <v>-1.2434587181548107E-2</v>
      </c>
    </row>
    <row r="47" spans="2:7" ht="15" customHeight="1" x14ac:dyDescent="0.3">
      <c r="B47" s="46">
        <v>46266</v>
      </c>
      <c r="C47" s="44">
        <v>2392.6999999999998</v>
      </c>
      <c r="D47" s="13">
        <f t="shared" si="0"/>
        <v>-9.8319264395538175E-2</v>
      </c>
      <c r="E47" s="44">
        <v>23063.1</v>
      </c>
      <c r="F47" s="13">
        <f t="shared" si="1"/>
        <v>-4.2245975980465533E-2</v>
      </c>
    </row>
  </sheetData>
  <mergeCells count="3">
    <mergeCell ref="B2:M2"/>
    <mergeCell ref="B6:M6"/>
    <mergeCell ref="B18:M20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  <pageSetUpPr fitToPage="1"/>
  </sheetPr>
  <dimension ref="B2:M4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4" customWidth="1"/>
    <col min="3" max="4" width="16" customWidth="1"/>
    <col min="5" max="5" width="10.21875" customWidth="1"/>
    <col min="6" max="7" width="16" customWidth="1"/>
    <col min="8" max="8" width="5" customWidth="1"/>
    <col min="9" max="9" width="24" customWidth="1"/>
    <col min="10" max="10" width="16" customWidth="1"/>
    <col min="11" max="12" width="14" customWidth="1"/>
    <col min="13" max="13" width="16" customWidth="1"/>
  </cols>
  <sheetData>
    <row r="2" spans="2:13" ht="24" customHeight="1" x14ac:dyDescent="0.3">
      <c r="B2" s="8" t="s">
        <v>216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15" customHeight="1" x14ac:dyDescent="0.3">
      <c r="B4" s="9" t="s">
        <v>195</v>
      </c>
    </row>
    <row r="6" spans="2:13" ht="15" customHeight="1" x14ac:dyDescent="0.3">
      <c r="B6" s="7" t="s">
        <v>196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8" spans="2:13" ht="15" customHeight="1" x14ac:dyDescent="0.3">
      <c r="B8" s="11" t="s">
        <v>108</v>
      </c>
      <c r="C8" s="11" t="s">
        <v>217</v>
      </c>
    </row>
    <row r="9" spans="2:13" ht="15" customHeight="1" x14ac:dyDescent="0.3">
      <c r="B9" s="11" t="s">
        <v>198</v>
      </c>
      <c r="C9" s="31">
        <f>J23</f>
        <v>1.1857952590124783</v>
      </c>
    </row>
    <row r="10" spans="2:13" ht="15" customHeight="1" x14ac:dyDescent="0.3">
      <c r="B10" s="11" t="s">
        <v>199</v>
      </c>
      <c r="C10" s="11" t="s">
        <v>200</v>
      </c>
    </row>
    <row r="12" spans="2:13" ht="15" customHeight="1" x14ac:dyDescent="0.3">
      <c r="B12" s="11" t="s">
        <v>201</v>
      </c>
      <c r="C12" s="42">
        <v>0.75</v>
      </c>
    </row>
    <row r="13" spans="2:13" ht="15" customHeight="1" x14ac:dyDescent="0.3">
      <c r="B13" s="11" t="s">
        <v>202</v>
      </c>
      <c r="C13" s="30">
        <v>1</v>
      </c>
    </row>
    <row r="14" spans="2:13" ht="15" customHeight="1" x14ac:dyDescent="0.3">
      <c r="B14" s="11" t="s">
        <v>203</v>
      </c>
      <c r="C14" s="42">
        <f>1-C12</f>
        <v>0.25</v>
      </c>
    </row>
    <row r="15" spans="2:13" ht="15" customHeight="1" x14ac:dyDescent="0.3">
      <c r="B15" s="11" t="s">
        <v>204</v>
      </c>
      <c r="C15" s="30">
        <f>C9*C12+C13*C14</f>
        <v>1.1393464442593588</v>
      </c>
    </row>
    <row r="18" spans="2:13" ht="15" customHeight="1" x14ac:dyDescent="0.3">
      <c r="B18" s="6" t="s">
        <v>205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ht="15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 ht="15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3" spans="2:13" ht="32.25" customHeight="1" x14ac:dyDescent="0.3">
      <c r="B23" s="10" t="s">
        <v>206</v>
      </c>
      <c r="C23" s="10" t="s">
        <v>207</v>
      </c>
      <c r="D23" s="10" t="s">
        <v>208</v>
      </c>
      <c r="E23" s="10" t="s">
        <v>209</v>
      </c>
      <c r="F23" s="10" t="s">
        <v>210</v>
      </c>
      <c r="G23" s="10"/>
      <c r="I23" s="11" t="s">
        <v>211</v>
      </c>
      <c r="J23" s="11">
        <f>IFERROR(SLOPE(D25:D47,F25:F47),"")</f>
        <v>1.1857952590124783</v>
      </c>
    </row>
    <row r="24" spans="2:13" ht="15" customHeight="1" x14ac:dyDescent="0.3">
      <c r="B24" s="43">
        <v>45566</v>
      </c>
      <c r="C24" s="44">
        <v>529.23</v>
      </c>
      <c r="E24" s="45">
        <v>24205.35</v>
      </c>
    </row>
    <row r="25" spans="2:13" ht="15" customHeight="1" x14ac:dyDescent="0.3">
      <c r="B25" s="43">
        <v>45597</v>
      </c>
      <c r="C25" s="44">
        <v>486.73</v>
      </c>
      <c r="D25" s="14">
        <f t="shared" ref="D25:D47" si="0">IFERROR(C25/C24-1,"")</f>
        <v>-8.0305349281030947E-2</v>
      </c>
      <c r="E25" s="45">
        <v>24131.1</v>
      </c>
      <c r="F25" s="13">
        <f t="shared" ref="F25:F47" si="1">IFERROR(E25/E24-1,"")</f>
        <v>-3.0675036717089377E-3</v>
      </c>
      <c r="G25" s="11"/>
    </row>
    <row r="26" spans="2:13" ht="15" customHeight="1" x14ac:dyDescent="0.3">
      <c r="B26" s="43">
        <v>45627</v>
      </c>
      <c r="C26" s="44">
        <v>442.22</v>
      </c>
      <c r="D26" s="14">
        <f t="shared" si="0"/>
        <v>-9.1447003472150845E-2</v>
      </c>
      <c r="E26" s="45">
        <v>23644.799999999999</v>
      </c>
      <c r="F26" s="13">
        <f t="shared" si="1"/>
        <v>-2.0152417419844082E-2</v>
      </c>
      <c r="G26" s="11"/>
    </row>
    <row r="27" spans="2:13" ht="15" customHeight="1" x14ac:dyDescent="0.3">
      <c r="B27" s="43">
        <v>45658</v>
      </c>
      <c r="C27" s="44">
        <v>466.08</v>
      </c>
      <c r="D27" s="14">
        <f t="shared" si="0"/>
        <v>5.3955045000225965E-2</v>
      </c>
      <c r="E27" s="45">
        <v>23508.400000000001</v>
      </c>
      <c r="F27" s="13">
        <f t="shared" si="1"/>
        <v>-5.7687102449586192E-3</v>
      </c>
      <c r="G27" s="11"/>
    </row>
    <row r="28" spans="2:13" ht="15" customHeight="1" x14ac:dyDescent="0.3">
      <c r="B28" s="43">
        <v>45689</v>
      </c>
      <c r="C28" s="44">
        <v>481.66</v>
      </c>
      <c r="D28" s="14">
        <f t="shared" si="0"/>
        <v>3.3427737727428797E-2</v>
      </c>
      <c r="E28" s="45">
        <v>22124.7</v>
      </c>
      <c r="F28" s="13">
        <f t="shared" si="1"/>
        <v>-5.8859811811948104E-2</v>
      </c>
      <c r="G28" s="11"/>
    </row>
    <row r="29" spans="2:13" ht="15" customHeight="1" x14ac:dyDescent="0.3">
      <c r="B29" s="43">
        <v>45717</v>
      </c>
      <c r="C29" s="44">
        <v>493.14</v>
      </c>
      <c r="D29" s="14">
        <f t="shared" si="0"/>
        <v>2.3834239920275557E-2</v>
      </c>
      <c r="E29" s="45">
        <v>23519.35</v>
      </c>
      <c r="F29" s="13">
        <f t="shared" si="1"/>
        <v>6.3035882972424462E-2</v>
      </c>
      <c r="G29" s="11"/>
    </row>
    <row r="30" spans="2:13" ht="15" customHeight="1" x14ac:dyDescent="0.3">
      <c r="B30" s="43">
        <v>45748</v>
      </c>
      <c r="C30" s="44">
        <v>536.52</v>
      </c>
      <c r="D30" s="14">
        <f t="shared" si="0"/>
        <v>8.796690594962886E-2</v>
      </c>
      <c r="E30" s="45">
        <v>24334.2</v>
      </c>
      <c r="F30" s="13">
        <f t="shared" si="1"/>
        <v>3.4645940470293679E-2</v>
      </c>
      <c r="G30" s="11"/>
    </row>
    <row r="31" spans="2:13" ht="15" customHeight="1" x14ac:dyDescent="0.3">
      <c r="B31" s="43">
        <v>45778</v>
      </c>
      <c r="C31" s="44">
        <v>560.28</v>
      </c>
      <c r="D31" s="14">
        <f t="shared" si="0"/>
        <v>4.428539476627158E-2</v>
      </c>
      <c r="E31" s="45">
        <v>24750.7</v>
      </c>
      <c r="F31" s="13">
        <f t="shared" si="1"/>
        <v>1.7115828751304685E-2</v>
      </c>
      <c r="G31" s="11"/>
    </row>
    <row r="32" spans="2:13" ht="15" customHeight="1" x14ac:dyDescent="0.3">
      <c r="B32" s="43">
        <v>45809</v>
      </c>
      <c r="C32" s="44">
        <v>584.29</v>
      </c>
      <c r="D32" s="14">
        <f t="shared" si="0"/>
        <v>4.2853573213393226E-2</v>
      </c>
      <c r="E32" s="45">
        <v>25517.05</v>
      </c>
      <c r="F32" s="13">
        <f t="shared" si="1"/>
        <v>3.0962760649193788E-2</v>
      </c>
      <c r="G32" s="11"/>
    </row>
    <row r="33" spans="2:7" ht="15" customHeight="1" x14ac:dyDescent="0.3">
      <c r="B33" s="43">
        <v>45839</v>
      </c>
      <c r="C33" s="44">
        <v>556.92999999999995</v>
      </c>
      <c r="D33" s="14">
        <f t="shared" si="0"/>
        <v>-4.6826062400520341E-2</v>
      </c>
      <c r="E33" s="45">
        <v>24768.35</v>
      </c>
      <c r="F33" s="13">
        <f t="shared" si="1"/>
        <v>-2.9341166004691055E-2</v>
      </c>
      <c r="G33" s="11"/>
    </row>
    <row r="34" spans="2:7" ht="15" customHeight="1" x14ac:dyDescent="0.3">
      <c r="B34" s="43">
        <v>45870</v>
      </c>
      <c r="C34" s="44">
        <v>529.01</v>
      </c>
      <c r="D34" s="14">
        <f t="shared" si="0"/>
        <v>-5.0131973497566928E-2</v>
      </c>
      <c r="E34" s="45">
        <v>24426.85</v>
      </c>
      <c r="F34" s="13">
        <f t="shared" si="1"/>
        <v>-1.3787757359694952E-2</v>
      </c>
      <c r="G34" s="11"/>
    </row>
    <row r="35" spans="2:7" ht="15" customHeight="1" x14ac:dyDescent="0.3">
      <c r="B35" s="43">
        <v>45901</v>
      </c>
      <c r="C35" s="44">
        <v>511.34</v>
      </c>
      <c r="D35" s="14">
        <f t="shared" si="0"/>
        <v>-3.3402015084781023E-2</v>
      </c>
      <c r="E35" s="45">
        <v>24611.1</v>
      </c>
      <c r="F35" s="13">
        <f t="shared" si="1"/>
        <v>7.5429291947182175E-3</v>
      </c>
      <c r="G35" s="11"/>
    </row>
    <row r="36" spans="2:7" ht="15" customHeight="1" x14ac:dyDescent="0.3">
      <c r="B36" s="43">
        <v>45931</v>
      </c>
      <c r="C36" s="44">
        <v>538.04</v>
      </c>
      <c r="D36" s="14">
        <f t="shared" si="0"/>
        <v>5.2215746861188128E-2</v>
      </c>
      <c r="E36" s="45">
        <v>25722.1</v>
      </c>
      <c r="F36" s="13">
        <f t="shared" si="1"/>
        <v>4.5142232569856722E-2</v>
      </c>
      <c r="G36" s="11"/>
    </row>
    <row r="37" spans="2:7" ht="15" customHeight="1" x14ac:dyDescent="0.3">
      <c r="B37" s="43">
        <v>45962</v>
      </c>
      <c r="C37" s="44">
        <v>560.37</v>
      </c>
      <c r="D37" s="14">
        <f t="shared" si="0"/>
        <v>4.1502490521150959E-2</v>
      </c>
      <c r="E37" s="45">
        <v>26202.95</v>
      </c>
      <c r="F37" s="13">
        <f t="shared" si="1"/>
        <v>1.8694041310779452E-2</v>
      </c>
      <c r="G37" s="11"/>
    </row>
    <row r="38" spans="2:7" ht="15" customHeight="1" x14ac:dyDescent="0.3">
      <c r="B38" s="43">
        <v>45992</v>
      </c>
      <c r="C38" s="44">
        <v>532.53</v>
      </c>
      <c r="D38" s="14">
        <f t="shared" si="0"/>
        <v>-4.9681460463622318E-2</v>
      </c>
      <c r="E38" s="45">
        <v>26129.599999999999</v>
      </c>
      <c r="F38" s="13">
        <f t="shared" si="1"/>
        <v>-2.7993031318993555E-3</v>
      </c>
      <c r="G38" s="11"/>
    </row>
    <row r="39" spans="2:7" ht="15" customHeight="1" x14ac:dyDescent="0.3">
      <c r="B39" s="43">
        <v>46023</v>
      </c>
      <c r="C39" s="44">
        <v>459.43</v>
      </c>
      <c r="D39" s="14">
        <f t="shared" si="0"/>
        <v>-0.13726926182562482</v>
      </c>
      <c r="E39" s="45">
        <v>25320.65</v>
      </c>
      <c r="F39" s="13">
        <f t="shared" si="1"/>
        <v>-3.0959142122343852E-2</v>
      </c>
      <c r="G39" s="11"/>
    </row>
    <row r="40" spans="2:7" ht="15" customHeight="1" x14ac:dyDescent="0.3">
      <c r="B40" s="43">
        <v>46054</v>
      </c>
      <c r="C40" s="44">
        <v>452.68</v>
      </c>
      <c r="D40" s="14">
        <f t="shared" si="0"/>
        <v>-1.4692118494656459E-2</v>
      </c>
      <c r="E40" s="45">
        <v>25178.65</v>
      </c>
      <c r="F40" s="13">
        <f t="shared" si="1"/>
        <v>-5.6080708828565307E-3</v>
      </c>
      <c r="G40" s="11"/>
    </row>
    <row r="41" spans="2:7" ht="15" customHeight="1" x14ac:dyDescent="0.3">
      <c r="B41" s="43">
        <v>46082</v>
      </c>
      <c r="C41" s="44">
        <v>406.93</v>
      </c>
      <c r="D41" s="14">
        <f t="shared" si="0"/>
        <v>-0.10106476981532209</v>
      </c>
      <c r="E41" s="45">
        <v>22331.4</v>
      </c>
      <c r="F41" s="13">
        <f t="shared" si="1"/>
        <v>-0.11308191662380629</v>
      </c>
      <c r="G41" s="11"/>
    </row>
    <row r="42" spans="2:7" ht="15" customHeight="1" x14ac:dyDescent="0.3">
      <c r="B42" s="43">
        <v>46113</v>
      </c>
      <c r="C42" s="44">
        <v>469.55</v>
      </c>
      <c r="D42" s="14">
        <f t="shared" si="0"/>
        <v>0.15388396038630714</v>
      </c>
      <c r="E42" s="45">
        <v>23997.55</v>
      </c>
      <c r="F42" s="13">
        <f t="shared" si="1"/>
        <v>7.4610190135862453E-2</v>
      </c>
      <c r="G42" s="11"/>
    </row>
    <row r="43" spans="2:7" ht="15" customHeight="1" x14ac:dyDescent="0.3">
      <c r="B43" s="43">
        <v>46143</v>
      </c>
      <c r="C43" s="44">
        <v>496.85</v>
      </c>
      <c r="D43" s="14">
        <f t="shared" si="0"/>
        <v>5.8140773080609165E-2</v>
      </c>
      <c r="E43" s="45">
        <v>23547.75</v>
      </c>
      <c r="F43" s="13">
        <f t="shared" si="1"/>
        <v>-1.8743580073799171E-2</v>
      </c>
      <c r="G43" s="11"/>
    </row>
    <row r="44" spans="2:7" ht="15" customHeight="1" x14ac:dyDescent="0.3">
      <c r="B44" s="46">
        <v>46174</v>
      </c>
      <c r="C44" s="44">
        <v>506.28</v>
      </c>
      <c r="D44" s="13">
        <f t="shared" si="0"/>
        <v>1.8979571299184705E-2</v>
      </c>
      <c r="E44" s="44">
        <v>23865.75</v>
      </c>
      <c r="F44" s="13">
        <f t="shared" si="1"/>
        <v>1.3504474949835865E-2</v>
      </c>
    </row>
    <row r="45" spans="2:7" ht="15" customHeight="1" x14ac:dyDescent="0.3">
      <c r="B45" s="46">
        <v>46204</v>
      </c>
      <c r="C45" s="44">
        <v>516.54999999999995</v>
      </c>
      <c r="D45" s="13">
        <f t="shared" si="0"/>
        <v>2.0285217666113686E-2</v>
      </c>
      <c r="E45" s="44">
        <v>24383.599999999999</v>
      </c>
      <c r="F45" s="13">
        <f t="shared" si="1"/>
        <v>2.1698459088861588E-2</v>
      </c>
    </row>
    <row r="46" spans="2:7" ht="15" customHeight="1" x14ac:dyDescent="0.3">
      <c r="B46" s="46">
        <v>46235</v>
      </c>
      <c r="C46" s="44">
        <v>497.75</v>
      </c>
      <c r="D46" s="13">
        <f t="shared" si="0"/>
        <v>-3.6395315071145018E-2</v>
      </c>
      <c r="E46" s="44">
        <v>24080.400000000001</v>
      </c>
      <c r="F46" s="13">
        <f t="shared" si="1"/>
        <v>-1.2434587181548107E-2</v>
      </c>
    </row>
    <row r="47" spans="2:7" ht="15" customHeight="1" x14ac:dyDescent="0.3">
      <c r="B47" s="46">
        <v>46266</v>
      </c>
      <c r="C47" s="44">
        <v>449.4</v>
      </c>
      <c r="D47" s="13">
        <f t="shared" si="0"/>
        <v>-9.7137117026619868E-2</v>
      </c>
      <c r="E47" s="44">
        <v>23063.1</v>
      </c>
      <c r="F47" s="13">
        <f t="shared" si="1"/>
        <v>-4.2245975980465533E-2</v>
      </c>
    </row>
  </sheetData>
  <mergeCells count="3">
    <mergeCell ref="B2:M2"/>
    <mergeCell ref="B6:M6"/>
    <mergeCell ref="B18:M20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  <pageSetUpPr fitToPage="1"/>
  </sheetPr>
  <dimension ref="B2:M4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4" customWidth="1"/>
    <col min="3" max="4" width="16" customWidth="1"/>
    <col min="5" max="5" width="10.21875" customWidth="1"/>
    <col min="6" max="7" width="16" customWidth="1"/>
    <col min="8" max="8" width="5" customWidth="1"/>
    <col min="9" max="9" width="24" customWidth="1"/>
    <col min="10" max="10" width="16" customWidth="1"/>
    <col min="11" max="12" width="14" customWidth="1"/>
    <col min="13" max="13" width="16" customWidth="1"/>
  </cols>
  <sheetData>
    <row r="2" spans="2:13" ht="24" customHeight="1" x14ac:dyDescent="0.3">
      <c r="B2" s="8" t="s">
        <v>218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15" customHeight="1" x14ac:dyDescent="0.3">
      <c r="B4" s="9" t="s">
        <v>195</v>
      </c>
    </row>
    <row r="6" spans="2:13" ht="15" customHeight="1" x14ac:dyDescent="0.3">
      <c r="B6" s="7" t="s">
        <v>196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8" spans="2:13" ht="15" customHeight="1" x14ac:dyDescent="0.3">
      <c r="B8" s="11" t="s">
        <v>108</v>
      </c>
      <c r="C8" s="11" t="s">
        <v>219</v>
      </c>
    </row>
    <row r="9" spans="2:13" ht="15" customHeight="1" x14ac:dyDescent="0.3">
      <c r="B9" s="11" t="s">
        <v>198</v>
      </c>
      <c r="C9" s="31">
        <f>J23</f>
        <v>1.2090224329963672</v>
      </c>
    </row>
    <row r="10" spans="2:13" ht="15" customHeight="1" x14ac:dyDescent="0.3">
      <c r="B10" s="11" t="s">
        <v>199</v>
      </c>
      <c r="C10" s="11" t="s">
        <v>200</v>
      </c>
    </row>
    <row r="12" spans="2:13" ht="15" customHeight="1" x14ac:dyDescent="0.3">
      <c r="B12" s="11" t="s">
        <v>201</v>
      </c>
      <c r="C12" s="42">
        <v>0.75</v>
      </c>
    </row>
    <row r="13" spans="2:13" ht="15" customHeight="1" x14ac:dyDescent="0.3">
      <c r="B13" s="11" t="s">
        <v>202</v>
      </c>
      <c r="C13" s="30">
        <v>1</v>
      </c>
    </row>
    <row r="14" spans="2:13" ht="15" customHeight="1" x14ac:dyDescent="0.3">
      <c r="B14" s="11" t="s">
        <v>203</v>
      </c>
      <c r="C14" s="42">
        <f>1-C12</f>
        <v>0.25</v>
      </c>
    </row>
    <row r="15" spans="2:13" ht="15" customHeight="1" x14ac:dyDescent="0.3">
      <c r="B15" s="11" t="s">
        <v>204</v>
      </c>
      <c r="C15" s="30">
        <f>C9*C12+C13*C14</f>
        <v>1.1567668247472755</v>
      </c>
    </row>
    <row r="18" spans="2:13" ht="15" customHeight="1" x14ac:dyDescent="0.3">
      <c r="B18" s="6" t="s">
        <v>205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ht="15" customHeigh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 ht="15" customHeight="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3" spans="2:13" ht="32.25" customHeight="1" x14ac:dyDescent="0.3">
      <c r="B23" s="10" t="s">
        <v>206</v>
      </c>
      <c r="C23" s="10" t="s">
        <v>207</v>
      </c>
      <c r="D23" s="10" t="s">
        <v>208</v>
      </c>
      <c r="E23" s="10" t="s">
        <v>209</v>
      </c>
      <c r="F23" s="10" t="s">
        <v>210</v>
      </c>
      <c r="G23" s="10"/>
      <c r="I23" s="11" t="s">
        <v>211</v>
      </c>
      <c r="J23" s="11">
        <f>IFERROR(SLOPE(D25:D47,F25:F47),"")</f>
        <v>1.2090224329963672</v>
      </c>
    </row>
    <row r="24" spans="2:13" ht="15" customHeight="1" x14ac:dyDescent="0.3">
      <c r="B24" s="43">
        <v>45566</v>
      </c>
      <c r="C24" s="44">
        <v>277.33999999999997</v>
      </c>
      <c r="E24" s="45">
        <v>24205.35</v>
      </c>
    </row>
    <row r="25" spans="2:13" ht="15" customHeight="1" x14ac:dyDescent="0.3">
      <c r="B25" s="43">
        <v>45597</v>
      </c>
      <c r="C25" s="44">
        <v>273.3</v>
      </c>
      <c r="D25" s="14">
        <f t="shared" ref="D25:D47" si="0">IFERROR(C25/C24-1,"")</f>
        <v>-1.4566957525059321E-2</v>
      </c>
      <c r="E25" s="45">
        <v>24131.1</v>
      </c>
      <c r="F25" s="13">
        <f t="shared" ref="F25:F47" si="1">IFERROR(E25/E24-1,"")</f>
        <v>-3.0675036717089377E-3</v>
      </c>
      <c r="G25" s="11"/>
    </row>
    <row r="26" spans="2:13" ht="15" customHeight="1" x14ac:dyDescent="0.3">
      <c r="B26" s="43">
        <v>45627</v>
      </c>
      <c r="C26" s="44">
        <v>257.79000000000002</v>
      </c>
      <c r="D26" s="14">
        <f t="shared" si="0"/>
        <v>-5.6750823271130568E-2</v>
      </c>
      <c r="E26" s="45">
        <v>23644.799999999999</v>
      </c>
      <c r="F26" s="13">
        <f t="shared" si="1"/>
        <v>-2.0152417419844082E-2</v>
      </c>
      <c r="G26" s="11"/>
    </row>
    <row r="27" spans="2:13" ht="15" customHeight="1" x14ac:dyDescent="0.3">
      <c r="B27" s="43">
        <v>45658</v>
      </c>
      <c r="C27" s="44">
        <v>226.75</v>
      </c>
      <c r="D27" s="14">
        <f t="shared" si="0"/>
        <v>-0.12040808409946091</v>
      </c>
      <c r="E27" s="45">
        <v>23508.400000000001</v>
      </c>
      <c r="F27" s="13">
        <f t="shared" si="1"/>
        <v>-5.7687102449586192E-3</v>
      </c>
      <c r="G27" s="11"/>
    </row>
    <row r="28" spans="2:13" ht="15" customHeight="1" x14ac:dyDescent="0.3">
      <c r="B28" s="43">
        <v>45689</v>
      </c>
      <c r="C28" s="44">
        <v>220.49</v>
      </c>
      <c r="D28" s="14">
        <f t="shared" si="0"/>
        <v>-2.7607497243660406E-2</v>
      </c>
      <c r="E28" s="45">
        <v>22124.7</v>
      </c>
      <c r="F28" s="13">
        <f t="shared" si="1"/>
        <v>-5.8859811811948104E-2</v>
      </c>
      <c r="G28" s="11"/>
    </row>
    <row r="29" spans="2:13" ht="15" customHeight="1" x14ac:dyDescent="0.3">
      <c r="B29" s="43">
        <v>45717</v>
      </c>
      <c r="C29" s="44">
        <v>226.56</v>
      </c>
      <c r="D29" s="14">
        <f t="shared" si="0"/>
        <v>2.7529593178828859E-2</v>
      </c>
      <c r="E29" s="45">
        <v>23519.35</v>
      </c>
      <c r="F29" s="13">
        <f t="shared" si="1"/>
        <v>6.3035882972424462E-2</v>
      </c>
      <c r="G29" s="11"/>
    </row>
    <row r="30" spans="2:13" ht="15" customHeight="1" x14ac:dyDescent="0.3">
      <c r="B30" s="43">
        <v>45748</v>
      </c>
      <c r="C30" s="44">
        <v>250.17</v>
      </c>
      <c r="D30" s="14">
        <f t="shared" si="0"/>
        <v>0.10421080508474567</v>
      </c>
      <c r="E30" s="45">
        <v>24334.2</v>
      </c>
      <c r="F30" s="13">
        <f t="shared" si="1"/>
        <v>3.4645940470293679E-2</v>
      </c>
      <c r="G30" s="11"/>
    </row>
    <row r="31" spans="2:13" ht="15" customHeight="1" x14ac:dyDescent="0.3">
      <c r="B31" s="43">
        <v>45778</v>
      </c>
      <c r="C31" s="44">
        <v>246.79</v>
      </c>
      <c r="D31" s="14">
        <f t="shared" si="0"/>
        <v>-1.3510812647399728E-2</v>
      </c>
      <c r="E31" s="45">
        <v>24750.7</v>
      </c>
      <c r="F31" s="13">
        <f t="shared" si="1"/>
        <v>1.7115828751304685E-2</v>
      </c>
      <c r="G31" s="11"/>
    </row>
    <row r="32" spans="2:13" ht="15" customHeight="1" x14ac:dyDescent="0.3">
      <c r="B32" s="43">
        <v>45809</v>
      </c>
      <c r="C32" s="44">
        <v>249.18</v>
      </c>
      <c r="D32" s="14">
        <f t="shared" si="0"/>
        <v>9.6843470156813272E-3</v>
      </c>
      <c r="E32" s="45">
        <v>25517.05</v>
      </c>
      <c r="F32" s="13">
        <f t="shared" si="1"/>
        <v>3.0962760649193788E-2</v>
      </c>
      <c r="G32" s="11"/>
    </row>
    <row r="33" spans="2:7" ht="15" customHeight="1" x14ac:dyDescent="0.3">
      <c r="B33" s="43">
        <v>45839</v>
      </c>
      <c r="C33" s="44">
        <v>242.02</v>
      </c>
      <c r="D33" s="14">
        <f t="shared" si="0"/>
        <v>-2.8734248334537305E-2</v>
      </c>
      <c r="E33" s="45">
        <v>24768.35</v>
      </c>
      <c r="F33" s="13">
        <f t="shared" si="1"/>
        <v>-2.9341166004691055E-2</v>
      </c>
      <c r="G33" s="11"/>
    </row>
    <row r="34" spans="2:7" ht="15" customHeight="1" x14ac:dyDescent="0.3">
      <c r="B34" s="43">
        <v>45870</v>
      </c>
      <c r="C34" s="44">
        <v>237.17</v>
      </c>
      <c r="D34" s="14">
        <f t="shared" si="0"/>
        <v>-2.0039666143293999E-2</v>
      </c>
      <c r="E34" s="45">
        <v>24426.85</v>
      </c>
      <c r="F34" s="13">
        <f t="shared" si="1"/>
        <v>-1.3787757359694952E-2</v>
      </c>
      <c r="G34" s="11"/>
    </row>
    <row r="35" spans="2:7" ht="15" customHeight="1" x14ac:dyDescent="0.3">
      <c r="B35" s="43">
        <v>45901</v>
      </c>
      <c r="C35" s="44">
        <v>244.47</v>
      </c>
      <c r="D35" s="14">
        <f t="shared" si="0"/>
        <v>3.0779609562761046E-2</v>
      </c>
      <c r="E35" s="45">
        <v>24611.1</v>
      </c>
      <c r="F35" s="13">
        <f t="shared" si="1"/>
        <v>7.5429291947182175E-3</v>
      </c>
      <c r="G35" s="11"/>
    </row>
    <row r="36" spans="2:7" ht="15" customHeight="1" x14ac:dyDescent="0.3">
      <c r="B36" s="43">
        <v>45931</v>
      </c>
      <c r="C36" s="44">
        <v>245.04</v>
      </c>
      <c r="D36" s="14">
        <f t="shared" si="0"/>
        <v>2.3315744263099347E-3</v>
      </c>
      <c r="E36" s="45">
        <v>25722.1</v>
      </c>
      <c r="F36" s="13">
        <f t="shared" si="1"/>
        <v>4.5142232569856722E-2</v>
      </c>
      <c r="G36" s="11"/>
    </row>
    <row r="37" spans="2:7" ht="15" customHeight="1" x14ac:dyDescent="0.3">
      <c r="B37" s="43">
        <v>45962</v>
      </c>
      <c r="C37" s="44">
        <v>233.71</v>
      </c>
      <c r="D37" s="14">
        <f t="shared" si="0"/>
        <v>-4.6237349004244144E-2</v>
      </c>
      <c r="E37" s="45">
        <v>26202.95</v>
      </c>
      <c r="F37" s="13">
        <f t="shared" si="1"/>
        <v>1.8694041310779452E-2</v>
      </c>
      <c r="G37" s="11"/>
    </row>
    <row r="38" spans="2:7" ht="15" customHeight="1" x14ac:dyDescent="0.3">
      <c r="B38" s="43">
        <v>45992</v>
      </c>
      <c r="C38" s="44">
        <v>232.68</v>
      </c>
      <c r="D38" s="14">
        <f t="shared" si="0"/>
        <v>-4.4071712806469376E-3</v>
      </c>
      <c r="E38" s="45">
        <v>26129.599999999999</v>
      </c>
      <c r="F38" s="13">
        <f t="shared" si="1"/>
        <v>-2.7993031318993555E-3</v>
      </c>
      <c r="G38" s="11"/>
    </row>
    <row r="39" spans="2:7" ht="15" customHeight="1" x14ac:dyDescent="0.3">
      <c r="B39" s="43">
        <v>46023</v>
      </c>
      <c r="C39" s="44">
        <v>227.48</v>
      </c>
      <c r="D39" s="14">
        <f t="shared" si="0"/>
        <v>-2.2348289496303964E-2</v>
      </c>
      <c r="E39" s="45">
        <v>25320.65</v>
      </c>
      <c r="F39" s="13">
        <f t="shared" si="1"/>
        <v>-3.0959142122343852E-2</v>
      </c>
      <c r="G39" s="11"/>
    </row>
    <row r="40" spans="2:7" ht="15" customHeight="1" x14ac:dyDescent="0.3">
      <c r="B40" s="43">
        <v>46054</v>
      </c>
      <c r="C40" s="44">
        <v>201.11</v>
      </c>
      <c r="D40" s="14">
        <f t="shared" si="0"/>
        <v>-0.11592227888165985</v>
      </c>
      <c r="E40" s="45">
        <v>25178.65</v>
      </c>
      <c r="F40" s="13">
        <f t="shared" si="1"/>
        <v>-5.6080708828565307E-3</v>
      </c>
      <c r="G40" s="11"/>
    </row>
    <row r="41" spans="2:7" ht="15" customHeight="1" x14ac:dyDescent="0.3">
      <c r="B41" s="43">
        <v>46082</v>
      </c>
      <c r="C41" s="44">
        <v>165.25</v>
      </c>
      <c r="D41" s="14">
        <f t="shared" si="0"/>
        <v>-0.17831037740540012</v>
      </c>
      <c r="E41" s="45">
        <v>22331.4</v>
      </c>
      <c r="F41" s="13">
        <f t="shared" si="1"/>
        <v>-0.11308191662380629</v>
      </c>
      <c r="G41" s="11"/>
    </row>
    <row r="42" spans="2:7" ht="15" customHeight="1" x14ac:dyDescent="0.3">
      <c r="B42" s="43">
        <v>46113</v>
      </c>
      <c r="C42" s="44">
        <v>194.87</v>
      </c>
      <c r="D42" s="14">
        <f t="shared" si="0"/>
        <v>0.17924357034795757</v>
      </c>
      <c r="E42" s="45">
        <v>23997.55</v>
      </c>
      <c r="F42" s="13">
        <f t="shared" si="1"/>
        <v>7.4610190135862453E-2</v>
      </c>
      <c r="G42" s="11"/>
    </row>
    <row r="43" spans="2:7" ht="15" customHeight="1" x14ac:dyDescent="0.3">
      <c r="B43" s="43">
        <v>46143</v>
      </c>
      <c r="C43" s="44">
        <v>215.49</v>
      </c>
      <c r="D43" s="14">
        <f t="shared" si="0"/>
        <v>0.10581413249858884</v>
      </c>
      <c r="E43" s="45">
        <v>23547.75</v>
      </c>
      <c r="F43" s="13">
        <f t="shared" si="1"/>
        <v>-1.8743580073799171E-2</v>
      </c>
      <c r="G43" s="11"/>
    </row>
    <row r="44" spans="2:7" ht="15" customHeight="1" x14ac:dyDescent="0.3">
      <c r="B44" s="46">
        <v>46174</v>
      </c>
      <c r="C44" s="44">
        <v>204.06</v>
      </c>
      <c r="D44" s="13">
        <f t="shared" si="0"/>
        <v>-5.3041904496728409E-2</v>
      </c>
      <c r="E44" s="44">
        <v>23865.75</v>
      </c>
      <c r="F44" s="13">
        <f t="shared" si="1"/>
        <v>1.3504474949835865E-2</v>
      </c>
    </row>
    <row r="45" spans="2:7" ht="15" customHeight="1" x14ac:dyDescent="0.3">
      <c r="B45" s="46">
        <v>46204</v>
      </c>
      <c r="C45" s="44">
        <v>196.74</v>
      </c>
      <c r="D45" s="13">
        <f t="shared" si="0"/>
        <v>-3.5871802411055587E-2</v>
      </c>
      <c r="E45" s="44">
        <v>24383.599999999999</v>
      </c>
      <c r="F45" s="13">
        <f t="shared" si="1"/>
        <v>2.1698459088861588E-2</v>
      </c>
    </row>
    <row r="46" spans="2:7" ht="15" customHeight="1" x14ac:dyDescent="0.3">
      <c r="B46" s="46">
        <v>46235</v>
      </c>
      <c r="C46" s="44">
        <v>192.81</v>
      </c>
      <c r="D46" s="13">
        <f t="shared" si="0"/>
        <v>-1.9975602317779839E-2</v>
      </c>
      <c r="E46" s="44">
        <v>24080.400000000001</v>
      </c>
      <c r="F46" s="13">
        <f t="shared" si="1"/>
        <v>-1.2434587181548107E-2</v>
      </c>
    </row>
    <row r="47" spans="2:7" ht="15" customHeight="1" x14ac:dyDescent="0.3">
      <c r="B47" s="46">
        <v>46266</v>
      </c>
      <c r="C47" s="44">
        <v>179.41</v>
      </c>
      <c r="D47" s="13">
        <f t="shared" si="0"/>
        <v>-6.949846999636955E-2</v>
      </c>
      <c r="E47" s="44">
        <v>23063.1</v>
      </c>
      <c r="F47" s="13">
        <f t="shared" si="1"/>
        <v>-4.2245975980465533E-2</v>
      </c>
    </row>
  </sheetData>
  <mergeCells count="3">
    <mergeCell ref="B2:M2"/>
    <mergeCell ref="B6:M6"/>
    <mergeCell ref="B18:M20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5A5A5"/>
    <pageSetUpPr fitToPage="1"/>
  </sheetPr>
  <dimension ref="B2:F3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3" width="18" customWidth="1"/>
    <col min="4" max="4" width="5" customWidth="1"/>
    <col min="5" max="5" width="22" customWidth="1"/>
    <col min="6" max="6" width="18" customWidth="1"/>
  </cols>
  <sheetData>
    <row r="2" spans="2:6" ht="24" customHeight="1" x14ac:dyDescent="0.3">
      <c r="B2" s="8" t="s">
        <v>220</v>
      </c>
      <c r="C2" s="8"/>
      <c r="D2" s="8"/>
      <c r="E2" s="8"/>
      <c r="F2" s="8"/>
    </row>
    <row r="4" spans="2:6" ht="15" customHeight="1" x14ac:dyDescent="0.3">
      <c r="B4" s="9" t="s">
        <v>221</v>
      </c>
    </row>
    <row r="7" spans="2:6" ht="15" customHeight="1" x14ac:dyDescent="0.3">
      <c r="B7" s="7" t="s">
        <v>222</v>
      </c>
      <c r="C7" s="7"/>
      <c r="D7" s="7"/>
      <c r="E7" s="7"/>
      <c r="F7" s="7"/>
    </row>
    <row r="9" spans="2:6" ht="15" customHeight="1" x14ac:dyDescent="0.3">
      <c r="B9" s="10" t="s">
        <v>223</v>
      </c>
      <c r="C9" s="10" t="s">
        <v>224</v>
      </c>
      <c r="E9" s="11" t="s">
        <v>225</v>
      </c>
      <c r="F9" s="14">
        <f>AVERAGE(C10:C34)</f>
        <v>0.10832000000000001</v>
      </c>
    </row>
    <row r="10" spans="2:6" ht="15" customHeight="1" x14ac:dyDescent="0.3">
      <c r="B10" s="11">
        <v>2000</v>
      </c>
      <c r="C10" s="14">
        <v>-0.14649999999999999</v>
      </c>
      <c r="E10" s="11" t="s">
        <v>226</v>
      </c>
      <c r="F10" s="14">
        <v>1.29E-2</v>
      </c>
    </row>
    <row r="11" spans="2:6" ht="15" customHeight="1" x14ac:dyDescent="0.3">
      <c r="B11" s="11">
        <v>2001</v>
      </c>
      <c r="C11" s="14">
        <v>-0.1618</v>
      </c>
      <c r="E11" s="11" t="s">
        <v>227</v>
      </c>
      <c r="F11" s="14">
        <f>SUM(F9:F10)</f>
        <v>0.12122000000000001</v>
      </c>
    </row>
    <row r="12" spans="2:6" ht="15" customHeight="1" x14ac:dyDescent="0.3">
      <c r="B12" s="11">
        <v>2002</v>
      </c>
      <c r="C12" s="14">
        <v>3.2500000000000001E-2</v>
      </c>
    </row>
    <row r="13" spans="2:6" ht="15" customHeight="1" x14ac:dyDescent="0.3">
      <c r="B13" s="11">
        <v>2003</v>
      </c>
      <c r="C13" s="14">
        <v>0.71899999999999997</v>
      </c>
    </row>
    <row r="14" spans="2:6" ht="15" customHeight="1" x14ac:dyDescent="0.3">
      <c r="B14" s="11">
        <v>2004</v>
      </c>
      <c r="C14" s="14">
        <v>0.10879999999999999</v>
      </c>
    </row>
    <row r="15" spans="2:6" ht="15" customHeight="1" x14ac:dyDescent="0.3">
      <c r="B15" s="11">
        <v>2005</v>
      </c>
      <c r="C15" s="14">
        <v>-8.1000000000000003E-2</v>
      </c>
    </row>
    <row r="16" spans="2:6" ht="15" customHeight="1" x14ac:dyDescent="0.3">
      <c r="B16" s="11">
        <v>2006</v>
      </c>
      <c r="C16" s="14">
        <v>-0.246</v>
      </c>
    </row>
    <row r="17" spans="2:3" ht="15" customHeight="1" x14ac:dyDescent="0.3">
      <c r="B17" s="11">
        <v>2007</v>
      </c>
      <c r="C17" s="14">
        <v>-5.6000000000000001E-2</v>
      </c>
    </row>
    <row r="18" spans="2:3" ht="15" customHeight="1" x14ac:dyDescent="0.3">
      <c r="B18" s="11">
        <v>2008</v>
      </c>
      <c r="C18" s="14">
        <v>0.17799999999999999</v>
      </c>
    </row>
    <row r="19" spans="2:3" ht="15" customHeight="1" x14ac:dyDescent="0.3">
      <c r="B19" s="11">
        <v>2009</v>
      </c>
      <c r="C19" s="14">
        <v>0.16600000000000001</v>
      </c>
    </row>
    <row r="20" spans="2:3" ht="15" customHeight="1" x14ac:dyDescent="0.3">
      <c r="B20" s="11">
        <v>2010</v>
      </c>
      <c r="C20" s="14">
        <v>0.154</v>
      </c>
    </row>
    <row r="21" spans="2:3" ht="15" customHeight="1" x14ac:dyDescent="0.3">
      <c r="B21" s="11">
        <v>2011</v>
      </c>
      <c r="C21" s="14">
        <v>1.2E-2</v>
      </c>
    </row>
    <row r="22" spans="2:3" ht="15" customHeight="1" x14ac:dyDescent="0.3">
      <c r="B22" s="11">
        <v>2012</v>
      </c>
      <c r="C22" s="14">
        <v>0.28799999999999998</v>
      </c>
    </row>
    <row r="23" spans="2:3" ht="15" customHeight="1" x14ac:dyDescent="0.3">
      <c r="B23" s="11">
        <v>2013</v>
      </c>
      <c r="C23" s="14">
        <v>0.14899999999999999</v>
      </c>
    </row>
    <row r="24" spans="2:3" ht="15" customHeight="1" x14ac:dyDescent="0.3">
      <c r="B24" s="11">
        <v>2014</v>
      </c>
      <c r="C24" s="14">
        <v>0.10100000000000001</v>
      </c>
    </row>
    <row r="25" spans="2:3" ht="15" customHeight="1" x14ac:dyDescent="0.3">
      <c r="B25" s="11">
        <v>2015</v>
      </c>
      <c r="C25" s="14">
        <v>3.3000000000000002E-2</v>
      </c>
    </row>
    <row r="26" spans="2:3" ht="15" customHeight="1" x14ac:dyDescent="0.3">
      <c r="B26" s="11">
        <v>2016</v>
      </c>
      <c r="C26" s="14">
        <v>7.5999999999999998E-2</v>
      </c>
    </row>
    <row r="27" spans="2:3" ht="15" customHeight="1" x14ac:dyDescent="0.3">
      <c r="B27" s="11">
        <v>2017</v>
      </c>
      <c r="C27" s="14">
        <v>0.124</v>
      </c>
    </row>
    <row r="28" spans="2:3" ht="15" customHeight="1" x14ac:dyDescent="0.3">
      <c r="B28" s="11">
        <v>2018</v>
      </c>
      <c r="C28" s="14">
        <v>0.28199999999999997</v>
      </c>
    </row>
    <row r="29" spans="2:3" ht="15" customHeight="1" x14ac:dyDescent="0.3">
      <c r="B29" s="11">
        <v>2019</v>
      </c>
      <c r="C29" s="14">
        <v>0.14099999999999999</v>
      </c>
    </row>
    <row r="30" spans="2:3" ht="15" customHeight="1" x14ac:dyDescent="0.3">
      <c r="B30" s="11">
        <v>2020</v>
      </c>
      <c r="C30" s="14">
        <v>0.23799999999999999</v>
      </c>
    </row>
    <row r="31" spans="2:3" ht="15" customHeight="1" x14ac:dyDescent="0.3">
      <c r="B31" s="11">
        <v>2021</v>
      </c>
      <c r="C31" s="14">
        <v>0.16</v>
      </c>
    </row>
    <row r="32" spans="2:3" ht="15" customHeight="1" x14ac:dyDescent="0.3">
      <c r="B32" s="11">
        <v>2022</v>
      </c>
      <c r="C32" s="14">
        <v>0.10100000000000001</v>
      </c>
    </row>
    <row r="33" spans="2:3" ht="15" customHeight="1" x14ac:dyDescent="0.3">
      <c r="B33" s="11">
        <v>2023</v>
      </c>
      <c r="C33" s="14">
        <v>0.24099999999999999</v>
      </c>
    </row>
    <row r="34" spans="2:3" ht="15" customHeight="1" x14ac:dyDescent="0.3">
      <c r="B34" s="11">
        <v>2024</v>
      </c>
      <c r="C34" s="14">
        <v>9.5000000000000001E-2</v>
      </c>
    </row>
  </sheetData>
  <mergeCells count="2">
    <mergeCell ref="B2:F2"/>
    <mergeCell ref="B7:F7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  <pageSetUpPr fitToPage="1"/>
  </sheetPr>
  <dimension ref="B2:D2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8" customWidth="1"/>
    <col min="3" max="3" width="95" customWidth="1"/>
    <col min="4" max="4" width="32" customWidth="1"/>
  </cols>
  <sheetData>
    <row r="2" spans="2:4" ht="24" customHeight="1" x14ac:dyDescent="0.3">
      <c r="B2" s="8" t="s">
        <v>228</v>
      </c>
      <c r="C2" s="8"/>
      <c r="D2" s="8"/>
    </row>
    <row r="5" spans="2:4" ht="15" customHeight="1" x14ac:dyDescent="0.3">
      <c r="B5" s="10" t="s">
        <v>229</v>
      </c>
      <c r="C5" s="10" t="s">
        <v>230</v>
      </c>
      <c r="D5" s="10" t="s">
        <v>231</v>
      </c>
    </row>
    <row r="6" spans="2:4" ht="15" customHeight="1" x14ac:dyDescent="0.3">
      <c r="B6" s="11" t="s">
        <v>232</v>
      </c>
      <c r="C6" s="47" t="s">
        <v>233</v>
      </c>
      <c r="D6" s="11" t="s">
        <v>234</v>
      </c>
    </row>
    <row r="7" spans="2:4" ht="15" customHeight="1" x14ac:dyDescent="0.3">
      <c r="B7" s="11" t="s">
        <v>235</v>
      </c>
      <c r="C7" s="47" t="s">
        <v>236</v>
      </c>
      <c r="D7" s="11" t="s">
        <v>237</v>
      </c>
    </row>
    <row r="8" spans="2:4" ht="15" customHeight="1" x14ac:dyDescent="0.3">
      <c r="B8" s="11" t="s">
        <v>238</v>
      </c>
      <c r="C8" s="47" t="s">
        <v>239</v>
      </c>
      <c r="D8" s="11" t="s">
        <v>240</v>
      </c>
    </row>
    <row r="9" spans="2:4" ht="15" customHeight="1" x14ac:dyDescent="0.3">
      <c r="B9" s="11" t="s">
        <v>241</v>
      </c>
      <c r="C9" s="47" t="s">
        <v>242</v>
      </c>
      <c r="D9" s="11" t="s">
        <v>243</v>
      </c>
    </row>
    <row r="10" spans="2:4" ht="15" customHeight="1" x14ac:dyDescent="0.3">
      <c r="B10" s="11" t="s">
        <v>244</v>
      </c>
      <c r="C10" s="47" t="s">
        <v>245</v>
      </c>
      <c r="D10" s="11" t="s">
        <v>246</v>
      </c>
    </row>
    <row r="11" spans="2:4" ht="15" customHeight="1" x14ac:dyDescent="0.3">
      <c r="B11" s="11" t="s">
        <v>247</v>
      </c>
      <c r="C11" s="47" t="s">
        <v>248</v>
      </c>
      <c r="D11" s="11" t="s">
        <v>249</v>
      </c>
    </row>
    <row r="12" spans="2:4" ht="15" customHeight="1" x14ac:dyDescent="0.3">
      <c r="B12" s="11" t="s">
        <v>250</v>
      </c>
      <c r="C12" s="47" t="s">
        <v>251</v>
      </c>
      <c r="D12" s="11" t="s">
        <v>252</v>
      </c>
    </row>
    <row r="13" spans="2:4" ht="15" customHeight="1" x14ac:dyDescent="0.3">
      <c r="B13" s="11" t="s">
        <v>253</v>
      </c>
      <c r="C13" s="47" t="s">
        <v>254</v>
      </c>
      <c r="D13" s="11" t="s">
        <v>255</v>
      </c>
    </row>
    <row r="14" spans="2:4" ht="14.25" customHeight="1" x14ac:dyDescent="0.3">
      <c r="B14" s="11" t="s">
        <v>256</v>
      </c>
      <c r="C14" s="47" t="s">
        <v>257</v>
      </c>
      <c r="D14" s="11" t="s">
        <v>258</v>
      </c>
    </row>
    <row r="15" spans="2:4" ht="26.25" customHeight="1" x14ac:dyDescent="0.3">
      <c r="B15" s="11" t="s">
        <v>259</v>
      </c>
      <c r="C15" s="47" t="s">
        <v>260</v>
      </c>
      <c r="D15" s="11" t="s">
        <v>261</v>
      </c>
    </row>
    <row r="16" spans="2:4" ht="15" customHeight="1" x14ac:dyDescent="0.3">
      <c r="B16" s="11" t="s">
        <v>262</v>
      </c>
    </row>
    <row r="17" spans="2:4" ht="15" customHeight="1" x14ac:dyDescent="0.3">
      <c r="B17" s="1" t="s">
        <v>263</v>
      </c>
      <c r="C17" s="1"/>
      <c r="D17" s="1"/>
    </row>
    <row r="18" spans="2:4" ht="15" customHeight="1" x14ac:dyDescent="0.3">
      <c r="B18" s="1"/>
      <c r="C18" s="1"/>
      <c r="D18" s="1"/>
    </row>
    <row r="19" spans="2:4" ht="15" customHeight="1" x14ac:dyDescent="0.3">
      <c r="B19" s="1"/>
      <c r="C19" s="1"/>
      <c r="D19" s="1"/>
    </row>
    <row r="20" spans="2:4" ht="15" customHeight="1" x14ac:dyDescent="0.3">
      <c r="B20" s="1"/>
      <c r="C20" s="1"/>
      <c r="D20" s="1"/>
    </row>
    <row r="21" spans="2:4" ht="15" customHeight="1" x14ac:dyDescent="0.3">
      <c r="B21" s="1"/>
      <c r="C21" s="1"/>
      <c r="D21" s="1"/>
    </row>
    <row r="22" spans="2:4" ht="15" customHeight="1" x14ac:dyDescent="0.3">
      <c r="B22" s="1"/>
      <c r="C22" s="1"/>
      <c r="D22" s="1"/>
    </row>
    <row r="23" spans="2:4" ht="15" customHeight="1" x14ac:dyDescent="0.3">
      <c r="B23" s="1"/>
      <c r="C23" s="1"/>
      <c r="D23" s="1"/>
    </row>
  </sheetData>
  <mergeCells count="2">
    <mergeCell ref="B2:D2"/>
    <mergeCell ref="B17:D23"/>
  </mergeCells>
  <pageMargins left="0.25" right="0.25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</vt:lpstr>
      <vt:lpstr>RAW FS</vt:lpstr>
      <vt:lpstr>Data Sheet</vt:lpstr>
      <vt:lpstr>WACC</vt:lpstr>
      <vt:lpstr>Comps</vt:lpstr>
      <vt:lpstr>Intrinsic Growth</vt:lpstr>
      <vt:lpstr>Astral</vt:lpstr>
      <vt:lpstr>Supreme</vt:lpstr>
      <vt:lpstr>Asian</vt:lpstr>
      <vt:lpstr>Berger</vt:lpstr>
      <vt:lpstr>Kansai</vt:lpstr>
      <vt:lpstr>Rm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Yug Mitulkumar Desai</cp:lastModifiedBy>
  <cp:revision>10</cp:revision>
  <dcterms:created xsi:type="dcterms:W3CDTF">2026-09-27T21:16:53Z</dcterms:created>
  <dcterms:modified xsi:type="dcterms:W3CDTF">2026-09-28T08:56:56Z</dcterms:modified>
  <dc:language>en-US</dc:language>
</cp:coreProperties>
</file>