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CF" sheetId="1" state="visible" r:id="rId3"/>
    <sheet name="RAW FS" sheetId="2" state="visible" r:id="rId4"/>
    <sheet name="Data Sheet" sheetId="3" state="visible" r:id="rId5"/>
    <sheet name="WACC" sheetId="4" state="visible" r:id="rId6"/>
    <sheet name="Comps" sheetId="5" state="visible" r:id="rId7"/>
    <sheet name="Intrinsic Growth" sheetId="6" state="visible" r:id="rId8"/>
    <sheet name="Astral" sheetId="7" state="visible" r:id="rId9"/>
    <sheet name="Supreme" sheetId="8" state="visible" r:id="rId10"/>
    <sheet name="Asian" sheetId="9" state="visible" r:id="rId11"/>
    <sheet name="Berger" sheetId="10" state="visible" r:id="rId12"/>
    <sheet name="Kansai" sheetId="11" state="visible" r:id="rId13"/>
    <sheet name="Rm" sheetId="12" state="visible" r:id="rId14"/>
    <sheet name="Source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30" authorId="0">
      <text>
        <r>
          <rPr>
            <sz val="10"/>
            <rFont val="Arial"/>
            <family val="2"/>
          </rPr>
          <t xml:space="preserve">Revenue growth path: 11.0% in FY27E (in line with FY26 actual 11.1%; FY23-26 avg ~13%), fading to 6.0% by FY36E so that growth converges toward the 5.5% terminal rate (below the 7.12% risk-free rate). 10-year explicit period used because Pidilite is a long-runway compounder; a 5-year horizon truncates growth abruptly.</t>
        </r>
      </text>
    </comment>
    <comment ref="H31" authorId="0">
      <text>
        <r>
          <rPr>
            <sz val="10"/>
            <rFont val="Arial"/>
            <family val="2"/>
          </rPr>
          <t xml:space="preserve">EBITDA margin path: FY27E starts at 27.5%, just below the FY26 actual (28.5%) and near the FY24-FY26 average (~27.6%), then fades 20bp/yr to 26.0% by FY36E. Rationale: partial normalisation of FY26 input-cost tailwinds and rising competition, while retaining Pidilite's structural premium over the 5-yr average (~25.2%). Validate vs management commentary (FY26 AR).</t>
        </r>
      </text>
    </comment>
  </commentList>
</comments>
</file>

<file path=xl/sharedStrings.xml><?xml version="1.0" encoding="utf-8"?>
<sst xmlns="http://schemas.openxmlformats.org/spreadsheetml/2006/main" count="423" uniqueCount="264">
  <si>
    <t xml:space="preserve">PIDILITE INDUSTRIES — DCF VALUATION</t>
  </si>
  <si>
    <t xml:space="preserve">Enterprise-value DCF | INR crore except per-share data</t>
  </si>
  <si>
    <t xml:space="preserve">FORECAST FCFF</t>
  </si>
  <si>
    <t xml:space="preserve">Fiscal Year</t>
  </si>
  <si>
    <t xml:space="preserve">FY22</t>
  </si>
  <si>
    <t xml:space="preserve">FY23</t>
  </si>
  <si>
    <t xml:space="preserve">FY24</t>
  </si>
  <si>
    <t xml:space="preserve">FY25</t>
  </si>
  <si>
    <t xml:space="preserve">FY26</t>
  </si>
  <si>
    <t xml:space="preserve">FY27</t>
  </si>
  <si>
    <t xml:space="preserve">FY28</t>
  </si>
  <si>
    <t xml:space="preserve">FY29</t>
  </si>
  <si>
    <t xml:space="preserve">FY30</t>
  </si>
  <si>
    <t xml:space="preserve">FY31</t>
  </si>
  <si>
    <t xml:space="preserve">FY32</t>
  </si>
  <si>
    <t xml:space="preserve">FY33</t>
  </si>
  <si>
    <t xml:space="preserve">FY34</t>
  </si>
  <si>
    <t xml:space="preserve">FY35</t>
  </si>
  <si>
    <t xml:space="preserve">FY36</t>
  </si>
  <si>
    <t xml:space="preserve">Revenue</t>
  </si>
  <si>
    <t xml:space="preserve">Revenue Growth</t>
  </si>
  <si>
    <t xml:space="preserve">Chart data</t>
  </si>
  <si>
    <t xml:space="preserve">EBITDA</t>
  </si>
  <si>
    <t xml:space="preserve">EBITDA Margin</t>
  </si>
  <si>
    <t xml:space="preserve">FY</t>
  </si>
  <si>
    <t xml:space="preserve">D&amp;A</t>
  </si>
  <si>
    <t xml:space="preserve">EBIT</t>
  </si>
  <si>
    <t xml:space="preserve">Tax Rate</t>
  </si>
  <si>
    <t xml:space="preserve">NOPAT</t>
  </si>
  <si>
    <t xml:space="preserve">Capex</t>
  </si>
  <si>
    <t xml:space="preserve">Operating NWC</t>
  </si>
  <si>
    <t xml:space="preserve">Change in NWC</t>
  </si>
  <si>
    <t xml:space="preserve">FCFF</t>
  </si>
  <si>
    <t xml:space="preserve">Discount Factor</t>
  </si>
  <si>
    <t xml:space="preserve">PV of FCFF</t>
  </si>
  <si>
    <t xml:space="preserve">VALUATION OUTPUT</t>
  </si>
  <si>
    <t xml:space="preserve">WACC</t>
  </si>
  <si>
    <t xml:space="preserve">Terminal Growth Rate</t>
  </si>
  <si>
    <t xml:space="preserve">PV of Explicit FCFF</t>
  </si>
  <si>
    <t xml:space="preserve">Terminal Year FCFF</t>
  </si>
  <si>
    <t xml:space="preserve">Terminal Value</t>
  </si>
  <si>
    <t xml:space="preserve">PV of Terminal Value</t>
  </si>
  <si>
    <t xml:space="preserve">Enterprise Value</t>
  </si>
  <si>
    <t xml:space="preserve">Add: Cash &amp; Current Investments</t>
  </si>
  <si>
    <t xml:space="preserve">Less: Debt</t>
  </si>
  <si>
    <t xml:space="preserve">Equity Value</t>
  </si>
  <si>
    <t xml:space="preserve">Shares Outstanding (mn)</t>
  </si>
  <si>
    <t xml:space="preserve">Implied Value / Share (₹)</t>
  </si>
  <si>
    <t xml:space="preserve">Current Share Price (₹)</t>
  </si>
  <si>
    <t xml:space="preserve">Implied Upside / (Downside)</t>
  </si>
  <si>
    <t xml:space="preserve">EV/EBITDA-Implied Value/Share (₹)</t>
  </si>
  <si>
    <t xml:space="preserve">P/E-Implied Value/Share (₹)</t>
  </si>
  <si>
    <t xml:space="preserve">DCF vs. Comps Spread (EV/EBITDA basis)</t>
  </si>
  <si>
    <t xml:space="preserve">WACC / TERMINAL GROWTH SENSITIVITY — IMPLIED VALUE PER SHARE (axes centred on base case; WACC ±1.5% steps)</t>
  </si>
  <si>
    <t xml:space="preserve">WACC \ g</t>
  </si>
  <si>
    <t xml:space="preserve">Market-Implied Terminal Growth (approx.)</t>
  </si>
  <si>
    <t xml:space="preserve">Reverse-DCF metric: terminal growth required to reconcile the current market price with the explicit forecast and selected WACC. This is a diagnostic, not a forecast.</t>
  </si>
  <si>
    <t xml:space="preserve">PIDILITE INDUSTRIES — RAW FINANCIALS</t>
  </si>
  <si>
    <t xml:space="preserve">All figures in INR crore unless stated otherwise</t>
  </si>
  <si>
    <t xml:space="preserve">Particulars</t>
  </si>
  <si>
    <t xml:space="preserve">Revenue from Operations</t>
  </si>
  <si>
    <t xml:space="preserve">Depreciation &amp; Amortisation</t>
  </si>
  <si>
    <t xml:space="preserve">Profit Before Tax</t>
  </si>
  <si>
    <t xml:space="preserve">Profit After Tax</t>
  </si>
  <si>
    <t xml:space="preserve">Capital Expenditure</t>
  </si>
  <si>
    <t xml:space="preserve">Inventories</t>
  </si>
  <si>
    <t xml:space="preserve">Trade Receivables</t>
  </si>
  <si>
    <t xml:space="preserve">Other Operating Current Assets</t>
  </si>
  <si>
    <t xml:space="preserve">Trade Payables</t>
  </si>
  <si>
    <t xml:space="preserve">Other Operating Current Liabilities</t>
  </si>
  <si>
    <t xml:space="preserve">Cash &amp; Cash Equivalents</t>
  </si>
  <si>
    <t xml:space="preserve">Current Investments</t>
  </si>
  <si>
    <t xml:space="preserve">Total Debt</t>
  </si>
  <si>
    <t xml:space="preserve">Equity Attributable to Owners</t>
  </si>
  <si>
    <t xml:space="preserve">EBIT Margin</t>
  </si>
  <si>
    <t xml:space="preserve">NWC % Revenue</t>
  </si>
  <si>
    <t xml:space="preserve">Source / methodology</t>
  </si>
  <si>
    <t xml:space="preserve">Historical figures are based primarily on Pidilite annual reports / audited results and public financial databases. FY26 consolidated revenue, PBT, PAT and D&amp;A are from FY26 audited results; balance-sheet and cash-flow series are cross-checked against public financial databases. Consolidated figures are used for the enterprise-value DCF.</t>
  </si>
  <si>
    <t xml:space="preserve">PIDILITE INDUSTRIES — DATA SHEET</t>
  </si>
  <si>
    <t xml:space="preserve">Market data, historical operating metrics and key DCF inputs</t>
  </si>
  <si>
    <t xml:space="preserve">MARKET DATA</t>
  </si>
  <si>
    <t xml:space="preserve">Company Name</t>
  </si>
  <si>
    <t xml:space="preserve">PIDILITE INDUSTRIES LTD</t>
  </si>
  <si>
    <t xml:space="preserve">Market Capitalization (₹ Cr)</t>
  </si>
  <si>
    <t xml:space="preserve">Face Value (₹)</t>
  </si>
  <si>
    <t xml:space="preserve">Total Debt (₹ Cr)</t>
  </si>
  <si>
    <t xml:space="preserve">Cash &amp; Cash Equivalents (₹ Cr)</t>
  </si>
  <si>
    <t xml:space="preserve">Current Investments (₹ Cr)</t>
  </si>
  <si>
    <t xml:space="preserve">Net Debt / (Cash) (₹ Cr)</t>
  </si>
  <si>
    <t xml:space="preserve">HISTORICAL / FORECAST DRIVER SUMMARY</t>
  </si>
  <si>
    <t xml:space="preserve">Metric</t>
  </si>
  <si>
    <t xml:space="preserve">FY27E</t>
  </si>
  <si>
    <t xml:space="preserve">FY28E</t>
  </si>
  <si>
    <t xml:space="preserve">FY29E</t>
  </si>
  <si>
    <t xml:space="preserve">FY30E</t>
  </si>
  <si>
    <t xml:space="preserve">FY31E</t>
  </si>
  <si>
    <t xml:space="preserve">NWC</t>
  </si>
  <si>
    <t xml:space="preserve">FY32E</t>
  </si>
  <si>
    <t xml:space="preserve">FY33E</t>
  </si>
  <si>
    <t xml:space="preserve">FY34E</t>
  </si>
  <si>
    <t xml:space="preserve">FY35E</t>
  </si>
  <si>
    <t xml:space="preserve">FY36E</t>
  </si>
  <si>
    <t xml:space="preserve">D&amp;A % Revenue</t>
  </si>
  <si>
    <t xml:space="preserve">Capex % Revenue</t>
  </si>
  <si>
    <t xml:space="preserve">DCF Valuation Date</t>
  </si>
  <si>
    <t xml:space="preserve">PIDILITE INDUSTRIES — WACC</t>
  </si>
  <si>
    <t xml:space="preserve">Cost of capital using CAPM + peer beta triangulation</t>
  </si>
  <si>
    <t xml:space="preserve">PEER COMPARABLES</t>
  </si>
  <si>
    <t xml:space="preserve">Company</t>
  </si>
  <si>
    <t xml:space="preserve">Country</t>
  </si>
  <si>
    <t xml:space="preserve">Debt (₹ Cr)</t>
  </si>
  <si>
    <t xml:space="preserve">Equity Value (₹ Cr)</t>
  </si>
  <si>
    <t xml:space="preserve">D/E</t>
  </si>
  <si>
    <t xml:space="preserve">Levered Beta</t>
  </si>
  <si>
    <t xml:space="preserve">Unlevered Beta</t>
  </si>
  <si>
    <t xml:space="preserve">Source / Note</t>
  </si>
  <si>
    <t xml:space="preserve">Asian Paints</t>
  </si>
  <si>
    <t xml:space="preserve">India</t>
  </si>
  <si>
    <t xml:space="preserve">Mkt cap = Sep-2026 close (Yahoo Finance, Asian tab) x 95.77 Cr shares; refresh before use</t>
  </si>
  <si>
    <t xml:space="preserve">Berger Paints</t>
  </si>
  <si>
    <t xml:space="preserve">Mkt cap = Sep-2026 close (Yahoo Finance, Berger tab) x 116.57 Cr shares; refresh before use</t>
  </si>
  <si>
    <t xml:space="preserve">Kansai Nerolac</t>
  </si>
  <si>
    <t xml:space="preserve">Mkt cap = Sep-2026 close (Yahoo Finance, Kansai tab) x 80.71 Cr shares; refresh before use</t>
  </si>
  <si>
    <t xml:space="preserve">Astral</t>
  </si>
  <si>
    <t xml:space="preserve">Mkt cap = Sep-2026 close (Yahoo Finance, Astral tab) x 26.9 Cr shares; refresh before use</t>
  </si>
  <si>
    <t xml:space="preserve">Supreme Industries</t>
  </si>
  <si>
    <t xml:space="preserve">Mkt cap = Sep-2026 close (Yahoo Finance, Supreme tab) x 12.7 Cr shares; refresh before use</t>
  </si>
  <si>
    <t xml:space="preserve">Median Unlevered Beta</t>
  </si>
  <si>
    <t xml:space="preserve">Average Unlevered Beta</t>
  </si>
  <si>
    <t xml:space="preserve">Paints-Only Median Unlevered Beta (Asian, Berger, Kansai)</t>
  </si>
  <si>
    <t xml:space="preserve">Beta Selection Switch (1 = Median, 2 = Average, 3 = Paints-only)</t>
  </si>
  <si>
    <t xml:space="preserve">COST OF EQUITY</t>
  </si>
  <si>
    <t xml:space="preserve">Risk-Free Rate</t>
  </si>
  <si>
    <t xml:space="preserve">Equity Risk Premium</t>
  </si>
  <si>
    <t xml:space="preserve">Target Debt / Equity</t>
  </si>
  <si>
    <t xml:space="preserve">Marginal Tax Rate</t>
  </si>
  <si>
    <t xml:space="preserve">Selected Unlevered Beta</t>
  </si>
  <si>
    <t xml:space="preserve">Relevered Beta</t>
  </si>
  <si>
    <t xml:space="preserve">Cost of Equity</t>
  </si>
  <si>
    <t xml:space="preserve">WACC BUILD</t>
  </si>
  <si>
    <t xml:space="preserve">Market Capitalization</t>
  </si>
  <si>
    <t xml:space="preserve">Equity Weight</t>
  </si>
  <si>
    <t xml:space="preserve">Debt Weight</t>
  </si>
  <si>
    <t xml:space="preserve">Pre-Tax Cost of Debt</t>
  </si>
  <si>
    <t xml:space="preserve">Post-Tax Cost of Debt</t>
  </si>
  <si>
    <t xml:space="preserve">Weighted Average Cost of Capital</t>
  </si>
  <si>
    <t xml:space="preserve">Notes</t>
  </si>
  <si>
    <t xml:space="preserve">Risk-free rate uses the India 10-year government bond yield around 25-Sep-2026. Peer betas are 24-month regressions vs NIFTY 50 (Yahoo Finance, Adj Close), Blume-adjusted. Peer unlevering: Bu = BL / [1 + (1-T) x D/E]. Beta selection switch (I18) defaults to the full-peer AVERAGE: peers split into two clusters (paints ~1.1, pipes ~0.57 unlevered) and Pidilite sells into both decorative/DIY and construction channels, so the median (which lands on the paints cluster by a 3-vs-2 split) is less representative; 1 and 3 are shown as alternatives. ERP of 6.0% is a mid-range assumption for India (commonly cited estimates span ~5-7%); verify against the latest Damodaran India estimate and cite it. Weights use the target D/E (1%).</t>
  </si>
  <si>
    <t xml:space="preserve">PIDILITE INDUSTRIES — TRADING COMPS</t>
  </si>
  <si>
    <t xml:space="preserve">EV/EBITDA and P/E cross-check against the DCF, using listed paints &amp; pipes peer multiples</t>
  </si>
  <si>
    <t xml:space="preserve">PEER TRADING MULTIPLES</t>
  </si>
  <si>
    <t xml:space="preserve">Market Cap (₹ Cr)</t>
  </si>
  <si>
    <t xml:space="preserve">Cash &amp; Investments (₹ Cr)</t>
  </si>
  <si>
    <t xml:space="preserve">Enterprise Value (₹ Cr)</t>
  </si>
  <si>
    <t xml:space="preserve">LTM EBITDA (₹ Cr)</t>
  </si>
  <si>
    <t xml:space="preserve">LTM PAT (₹ Cr)</t>
  </si>
  <si>
    <t xml:space="preserve">EPS (₹) — reference only</t>
  </si>
  <si>
    <t xml:space="preserve">EV/EBITDA</t>
  </si>
  <si>
    <t xml:space="preserve">P/E</t>
  </si>
  <si>
    <t xml:space="preserve">screener.in (ASIANPAINT), consolidated, TTM ended Jun-2026 for P&amp;L; Investments as of Mar-2026 balance sheet; pulled 28-Sep-2026</t>
  </si>
  <si>
    <t xml:space="preserve">screener.in (BERGEPAINT), consolidated, TTM ended Jun-2026 for P&amp;L; Investments as of Mar-2026 balance sheet; pulled 28-Sep-2026</t>
  </si>
  <si>
    <t xml:space="preserve">screener.in (KANSAINER), consolidated, TTM ended Jun-2026 for P&amp;L; Investments as of Mar-2026 balance sheet; pulled 28-Sep-2026</t>
  </si>
  <si>
    <t xml:space="preserve">screener.in (ASTRAL), consolidated, TTM ended Jun-2026 for P&amp;L; balance sheet carries no separate Investments line (cash embedded in Other Assets) as of Mar-2026; pulled 28-Sep-2026</t>
  </si>
  <si>
    <t xml:space="preserve">screener.in (SUPREMEIND), consolidated, TTM ended Jun-2026 for P&amp;L; Investments as of Mar-2026 balance sheet; pulled 28-Sep-2026</t>
  </si>
  <si>
    <t xml:space="preserve">Median EV/EBITDA</t>
  </si>
  <si>
    <t xml:space="preserve">Median P/E</t>
  </si>
  <si>
    <t xml:space="preserve">APPLY MULTIPLES TO PIDILITE</t>
  </si>
  <si>
    <t xml:space="preserve">Pidilite FY26 Actual EBITDA (₹ Cr)</t>
  </si>
  <si>
    <t xml:space="preserve">Pidilite FY27E Forecast EBITDA (₹ Cr)</t>
  </si>
  <si>
    <t xml:space="preserve">Pidilite FY26 Actual PAT (₹ Cr)</t>
  </si>
  <si>
    <t xml:space="preserve">IMPLIED VALUATION</t>
  </si>
  <si>
    <t xml:space="preserve">Implied EV — EV/EBITDA Method, FY26 Actual (₹ Cr)</t>
  </si>
  <si>
    <t xml:space="preserve">Implied EV — EV/EBITDA, FY27E EBITDA (LTM peer multiple x forward EBITDA; indicative) (₹ Cr)</t>
  </si>
  <si>
    <t xml:space="preserve">Implied Equity Value — FY26 Actual (₹ Cr)</t>
  </si>
  <si>
    <t xml:space="preserve">Implied Equity Value — FY27E Forecast (₹ Cr)</t>
  </si>
  <si>
    <t xml:space="preserve">Implied Value/Share — EV/EBITDA Method, FY26 Actual (₹)</t>
  </si>
  <si>
    <t xml:space="preserve">Implied Value/Share — EV/EBITDA Method, FY27E Forecast (₹)</t>
  </si>
  <si>
    <t xml:space="preserve">Implied Value/Share — P/E Method, FY26 Actual PAT (₹)</t>
  </si>
  <si>
    <t xml:space="preserve">Note: Peer market caps (WACC!E9:E13) are refreshed to Sep-2026 closing prices x shares outstanding; peer LTM EBITDA / PAT / EPS are TTM to Jun-2026 (screener.in, 28-Sep-2026). Astral cash shown as 0 because screener carries no separate investments line - verify against the Mar-2026 balance sheet. Peer EV/EBITDA is dispersed (Kansai ~12x vs Astral ~34x), so the median is a rough anchor, not a precise target.</t>
  </si>
  <si>
    <t xml:space="preserve">PIDILITE INDUSTRIES — INTRINSIC GROWTH</t>
  </si>
  <si>
    <t xml:space="preserve">ROIC × Reinvestment Rate framework</t>
  </si>
  <si>
    <t xml:space="preserve">ROIC BUILD</t>
  </si>
  <si>
    <t xml:space="preserve">Operating Current Assets</t>
  </si>
  <si>
    <t xml:space="preserve">Operating Current Liabilities</t>
  </si>
  <si>
    <t xml:space="preserve">Net Operating Working Capital</t>
  </si>
  <si>
    <t xml:space="preserve">Invested Capital Proxy</t>
  </si>
  <si>
    <t xml:space="preserve">ROIC</t>
  </si>
  <si>
    <t xml:space="preserve">REINVESTMENT RATE &amp; INTRINSIC GROWTH</t>
  </si>
  <si>
    <t xml:space="preserve">5Y Median</t>
  </si>
  <si>
    <t xml:space="preserve">5Y Average</t>
  </si>
  <si>
    <t xml:space="preserve">Reinvestment</t>
  </si>
  <si>
    <t xml:space="preserve">Reinvestment Rate</t>
  </si>
  <si>
    <t xml:space="preserve">Terminal g</t>
  </si>
  <si>
    <t xml:space="preserve">Intrinsic Growth</t>
  </si>
  <si>
    <t xml:space="preserve">ASTRAL LTD — BETA SUPPORT</t>
  </si>
  <si>
    <t xml:space="preserve">Peer beta input sheet | refresh market series before interview use</t>
  </si>
  <si>
    <t xml:space="preserve">BETA INPUT / TRIANGULATION</t>
  </si>
  <si>
    <t xml:space="preserve">ASTRAL LTD</t>
  </si>
  <si>
    <t xml:space="preserve">Reference Levered Beta</t>
  </si>
  <si>
    <t xml:space="preserve">Method</t>
  </si>
  <si>
    <t xml:space="preserve">2-year monthly regression beta vs NIFTY 50 (Oct-2024 to Sep-2026), Adj Close, Source: Yahoo Finance</t>
  </si>
  <si>
    <t xml:space="preserve">Raw Beta Weight</t>
  </si>
  <si>
    <t xml:space="preserve">Market Beta</t>
  </si>
  <si>
    <t xml:space="preserve">Market Beta Weight</t>
  </si>
  <si>
    <t xml:space="preserve">Adjusted Beta</t>
  </si>
  <si>
    <t xml:space="preserve">Beta regression completed using 24 months of Adj Close data (Oct-2024 to Sep-2026) for the peer and NIFTY 50, sourced from Yahoo Finance. Regression Beta (J23) feeds directly into Reference Levered Beta (C9) above, which is then Blume-adjusted (rows 12-15) before use in the WACC build.</t>
  </si>
  <si>
    <t xml:space="preserve">Date</t>
  </si>
  <si>
    <t xml:space="preserve">Peer Price (Adj Close)</t>
  </si>
  <si>
    <t xml:space="preserve">Peer Return</t>
  </si>
  <si>
    <t xml:space="preserve">NIFTY Price (Adj Close)</t>
  </si>
  <si>
    <t xml:space="preserve">NIFTY Return</t>
  </si>
  <si>
    <t xml:space="preserve">Regression Beta</t>
  </si>
  <si>
    <t xml:space="preserve">SUPREME INDUSTRIES LTD — BETA SUPPORT</t>
  </si>
  <si>
    <t xml:space="preserve">SUPREME INDUSTRIES LTD</t>
  </si>
  <si>
    <t xml:space="preserve">ASIAN PAINTS LTD — BETA SUPPORT</t>
  </si>
  <si>
    <t xml:space="preserve">ASIAN PAINTS LTD</t>
  </si>
  <si>
    <t xml:space="preserve">BERGER PAINTS INDIA LTD — BETA SUPPORT</t>
  </si>
  <si>
    <t xml:space="preserve">BERGER PAINTS INDIA LTD</t>
  </si>
  <si>
    <t xml:space="preserve">KANSAI NEROLAC PAINTS LTD — BETA SUPPORT</t>
  </si>
  <si>
    <t xml:space="preserve">KANSAI NEROLAC PAINTS LTD</t>
  </si>
  <si>
    <t xml:space="preserve">MARKET RETURN / ERP SUPPORT</t>
  </si>
  <si>
    <t xml:space="preserve">Long-run market return support for CAPM</t>
  </si>
  <si>
    <t xml:space="preserve">ILLUSTRATIVE MARKET RETURN SERIES</t>
  </si>
  <si>
    <t xml:space="preserve">Year</t>
  </si>
  <si>
    <t xml:space="preserve">Annual Market Return</t>
  </si>
  <si>
    <t xml:space="preserve">Average Return</t>
  </si>
  <si>
    <t xml:space="preserve">Dividend Yield</t>
  </si>
  <si>
    <t xml:space="preserve">Total Market Return</t>
  </si>
  <si>
    <t xml:space="preserve">SOURCES &amp; MODEL NOTES</t>
  </si>
  <si>
    <t xml:space="preserve">Item</t>
  </si>
  <si>
    <t xml:space="preserve">Source / Reference</t>
  </si>
  <si>
    <t xml:space="preserve">Use in Model</t>
  </si>
  <si>
    <t xml:space="preserve">Pidilite FY25-26 Annual Report</t>
  </si>
  <si>
    <t xml:space="preserve">https://annual-reports.pidilite.com/Annual-Report-2025-26/index.html</t>
  </si>
  <si>
    <t xml:space="preserve">FY26 audited operating and financial context</t>
  </si>
  <si>
    <t xml:space="preserve">Pidilite 10-Year Financial Performance</t>
  </si>
  <si>
    <t xml:space="preserve">https://annual-reports.pidilite.com/Annual-Report-2025-26/10-years-financial-performance.html</t>
  </si>
  <si>
    <t xml:space="preserve">Historical operating results, capex and ratios</t>
  </si>
  <si>
    <t xml:space="preserve">Pidilite Investor Relations</t>
  </si>
  <si>
    <t xml:space="preserve">https://www.pidilite.com/investor-relations/</t>
  </si>
  <si>
    <t xml:space="preserve">Audited results and investor materials</t>
  </si>
  <si>
    <t xml:space="preserve">FY26 Consolidated Results</t>
  </si>
  <si>
    <t xml:space="preserve">FY26 audited results / exchange filing; revenue ₹14,600.83 Cr, PBT ₹3,320.17 Cr, PAT ₹2,448.92 Cr</t>
  </si>
  <si>
    <t xml:space="preserve">DCF base year</t>
  </si>
  <si>
    <t xml:space="preserve">Market Price</t>
  </si>
  <si>
    <t xml:space="preserve">Public market data; 25-Sep-2026 close ₹1,517.20</t>
  </si>
  <si>
    <t xml:space="preserve">Current share price</t>
  </si>
  <si>
    <t xml:space="preserve">India 10Y Government Bond</t>
  </si>
  <si>
    <t xml:space="preserve">Public market data; 25-Sep-2026 yield ~7.12%</t>
  </si>
  <si>
    <t xml:space="preserve">Risk-free rate</t>
  </si>
  <si>
    <t xml:space="preserve">Peer Betas (regression)</t>
  </si>
  <si>
    <t xml:space="preserve">Yahoo Finance monthly Adj Close, Oct-2024 to Sep-2026: ASTRAL.NS, SUPREMEIND.NS, ASIANPAINT.NS, BERGEPAINT.NS, KANSAINER.NS, ^NSEI</t>
  </si>
  <si>
    <t xml:space="preserve">Regression beta (SLOPE of peer vs NIFTY monthly returns) -&gt; Blume-adjusted -&gt; unlevered/relevered in WACC</t>
  </si>
  <si>
    <t xml:space="preserve">DCF Convention</t>
  </si>
  <si>
    <t xml:space="preserve">Mid-year discounting; 10-year explicit FCFF then Gordon Growth terminal value</t>
  </si>
  <si>
    <t xml:space="preserve">Valuation methodology</t>
  </si>
  <si>
    <t xml:space="preserve">Peer LTM financials</t>
  </si>
  <si>
    <t xml:space="preserve">screener.in consolidated TTM to Jun-2026 (EBITDA, PAT, EPS, investments); pulled 28-Sep-2026</t>
  </si>
  <si>
    <t xml:space="preserve">Trading comps (Comps tab)</t>
  </si>
  <si>
    <t xml:space="preserve">Peer market caps</t>
  </si>
  <si>
    <t xml:space="preserve">Sep-2026 close (Yahoo Finance) x shares outstanding (Cr): Asian 95.77, Berger 116.57, Kansai 80.71, Astral 26.9, Supreme 12.70</t>
  </si>
  <si>
    <t xml:space="preserve">Peer equity value for D/E and EV multiples</t>
  </si>
  <si>
    <t xml:space="preserve">Key model conventions</t>
  </si>
  <si>
    <t xml:space="preserve">1. Consolidated financials are used for enterprise-value DCF consistency.
2. Forecasts run FY27E–FY36E (10-year fade: growth 11% to 6%, EBITDA margin 27.5% to 26.0%).
3. FCFF = EBIT × (1-tax) + D&amp;A – Capex – Change in Operating NWC.
4. Terminal value uses Gordon Growth; TV discounted with the final-year mid-year factor.
5. Sensitivity table is centred on the live base-case WACC and terminal growth.
6. Reverse DCF estimates the terminal growth required to reconcile the market price.
7. Yellow cells are inputs; green cells are key outputs.
8. Cross-check: trading comps (EV/EBITDA, P/E) on the Comps tab; DCF vs comps spread on DCF!N60.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</si>
</sst>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"/>
    <numFmt numFmtId="166" formatCode="0.0%"/>
    <numFmt numFmtId="167" formatCode="\₹#,##0"/>
    <numFmt numFmtId="168" formatCode="\₹#,##0.0"/>
    <numFmt numFmtId="169" formatCode="dd\-mmm\-yyyy"/>
    <numFmt numFmtId="170" formatCode="0.0\x"/>
    <numFmt numFmtId="171" formatCode="0.00\x"/>
    <numFmt numFmtId="172" formatCode="0"/>
    <numFmt numFmtId="173" formatCode="#,##0.00"/>
    <numFmt numFmtId="174" formatCode="#,##0.000"/>
    <numFmt numFmtId="175" formatCode="0%"/>
    <numFmt numFmtId="176" formatCode="mmm\-yy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11"/>
      <name val="Arial"/>
      <family val="0"/>
      <charset val="1"/>
    </font>
    <font>
      <i val="true"/>
      <sz val="8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9"/>
      <color rgb="FF555555"/>
      <name val="Arial"/>
      <family val="0"/>
      <charset val="1"/>
    </font>
    <font>
      <sz val="10"/>
      <name val="Arial"/>
      <family val="2"/>
    </font>
    <font>
      <i val="true"/>
      <sz val="8"/>
      <color rgb="FF66666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7202A"/>
        <bgColor rgb="FF0F1115"/>
      </patternFill>
    </fill>
    <fill>
      <patternFill patternType="solid">
        <fgColor rgb="FF0F1115"/>
        <bgColor rgb="FF17202A"/>
      </patternFill>
    </fill>
    <fill>
      <patternFill patternType="solid">
        <fgColor rgb="FFEEF5FB"/>
        <bgColor rgb="FFE8F5EF"/>
      </patternFill>
    </fill>
    <fill>
      <patternFill patternType="solid">
        <fgColor rgb="FFE8F5EF"/>
        <bgColor rgb="FFEEF5FB"/>
      </patternFill>
    </fill>
    <fill>
      <patternFill patternType="solid">
        <fgColor rgb="FFFFF2CC"/>
        <bgColor rgb="FFE8F5E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5B9BD5"/>
      <rgbColor rgb="FFC0504D"/>
      <rgbColor rgb="FFFFF2CC"/>
      <rgbColor rgb="FFE8F5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5FB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70AD47"/>
      <rgbColor rgb="FFFFCC00"/>
      <rgbColor rgb="FFFF9900"/>
      <rgbColor rgb="FFC65911"/>
      <rgbColor rgb="FF666666"/>
      <rgbColor rgb="FFA5A5A5"/>
      <rgbColor rgb="FF1F4E78"/>
      <rgbColor rgb="FF00A86B"/>
      <rgbColor rgb="FF0F1115"/>
      <rgbColor rgb="FF555555"/>
      <rgbColor rgb="FF993300"/>
      <rgbColor rgb="FF993366"/>
      <rgbColor rgb="FF1F4E79"/>
      <rgbColor rgb="FF1720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&amp; EBITDA (₹ Cr), FY22–FY36E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DCF!W24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f4e79"/>
            </a:solidFill>
            <a:ln w="28440">
              <a:solidFill>
                <a:srgbClr val="1f4e79"/>
              </a:solidFill>
              <a:round/>
            </a:ln>
          </c:spPr>
          <c:marker>
            <c:symbol val="circle"/>
            <c:size val="5"/>
            <c:spPr>
              <a:solidFill>
                <a:srgbClr val="1f4e7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DCF!$V$25:$V$39</c:f>
              <c:strCache>
                <c:ptCount val="1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  <c:pt idx="5">
                  <c:v>FY27</c:v>
                </c:pt>
                <c:pt idx="6">
                  <c:v>FY28</c:v>
                </c:pt>
                <c:pt idx="7">
                  <c:v>FY29</c:v>
                </c:pt>
                <c:pt idx="8">
                  <c:v>FY30</c:v>
                </c:pt>
                <c:pt idx="9">
                  <c:v>FY31</c:v>
                </c:pt>
                <c:pt idx="10">
                  <c:v>FY32</c:v>
                </c:pt>
                <c:pt idx="11">
                  <c:v>FY33</c:v>
                </c:pt>
                <c:pt idx="12">
                  <c:v>FY34</c:v>
                </c:pt>
                <c:pt idx="13">
                  <c:v>FY35</c:v>
                </c:pt>
                <c:pt idx="14">
                  <c:v>FY36</c:v>
                </c:pt>
              </c:strCache>
            </c:strRef>
          </c:cat>
          <c:val>
            <c:numRef>
              <c:f>DCF!$W$25:$W$39</c:f>
              <c:numCache>
                <c:formatCode>#,##0.0</c:formatCode>
                <c:ptCount val="15"/>
                <c:pt idx="0">
                  <c:v>8917</c:v>
                </c:pt>
                <c:pt idx="1">
                  <c:v>10660</c:v>
                </c:pt>
                <c:pt idx="2">
                  <c:v>11333</c:v>
                </c:pt>
                <c:pt idx="3">
                  <c:v>13140.31</c:v>
                </c:pt>
                <c:pt idx="4">
                  <c:v>14600.83</c:v>
                </c:pt>
                <c:pt idx="5">
                  <c:v>16206.9213</c:v>
                </c:pt>
                <c:pt idx="6">
                  <c:v>17989.682643</c:v>
                </c:pt>
                <c:pt idx="7">
                  <c:v>19878.599320515</c:v>
                </c:pt>
                <c:pt idx="8">
                  <c:v>21866.4592525665</c:v>
                </c:pt>
                <c:pt idx="9">
                  <c:v>23943.7728815603</c:v>
                </c:pt>
                <c:pt idx="10">
                  <c:v>26098.7124409008</c:v>
                </c:pt>
                <c:pt idx="11">
                  <c:v>28186.6094361728</c:v>
                </c:pt>
                <c:pt idx="12">
                  <c:v>30159.6720967049</c:v>
                </c:pt>
                <c:pt idx="13">
                  <c:v>32120.0507829907</c:v>
                </c:pt>
                <c:pt idx="14">
                  <c:v>34047.2538299702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DCF!X24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c0504d"/>
            </a:solidFill>
            <a:ln w="2844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DCF!$V$25:$V$39</c:f>
              <c:strCache>
                <c:ptCount val="15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  <c:pt idx="5">
                  <c:v>FY27</c:v>
                </c:pt>
                <c:pt idx="6">
                  <c:v>FY28</c:v>
                </c:pt>
                <c:pt idx="7">
                  <c:v>FY29</c:v>
                </c:pt>
                <c:pt idx="8">
                  <c:v>FY30</c:v>
                </c:pt>
                <c:pt idx="9">
                  <c:v>FY31</c:v>
                </c:pt>
                <c:pt idx="10">
                  <c:v>FY32</c:v>
                </c:pt>
                <c:pt idx="11">
                  <c:v>FY33</c:v>
                </c:pt>
                <c:pt idx="12">
                  <c:v>FY34</c:v>
                </c:pt>
                <c:pt idx="13">
                  <c:v>FY35</c:v>
                </c:pt>
                <c:pt idx="14">
                  <c:v>FY36</c:v>
                </c:pt>
              </c:strCache>
            </c:strRef>
          </c:cat>
          <c:val>
            <c:numRef>
              <c:f>DCF!$X$25:$X$39</c:f>
              <c:numCache>
                <c:formatCode>#,##0.0</c:formatCode>
                <c:ptCount val="15"/>
                <c:pt idx="0">
                  <c:v>2020</c:v>
                </c:pt>
                <c:pt idx="1">
                  <c:v>2165</c:v>
                </c:pt>
                <c:pt idx="2">
                  <c:v>3057</c:v>
                </c:pt>
                <c:pt idx="3">
                  <c:v>3590</c:v>
                </c:pt>
                <c:pt idx="4">
                  <c:v>4163.81</c:v>
                </c:pt>
                <c:pt idx="5">
                  <c:v>4456.9033575</c:v>
                </c:pt>
                <c:pt idx="6">
                  <c:v>4929.173044182</c:v>
                </c:pt>
                <c:pt idx="7">
                  <c:v>5406.97901518008</c:v>
                </c:pt>
                <c:pt idx="8">
                  <c:v>5903.94399819296</c:v>
                </c:pt>
                <c:pt idx="9">
                  <c:v>6416.93113225817</c:v>
                </c:pt>
                <c:pt idx="10">
                  <c:v>6942.2575092796</c:v>
                </c:pt>
                <c:pt idx="11">
                  <c:v>7441.26489114962</c:v>
                </c:pt>
                <c:pt idx="12">
                  <c:v>7901.83408933669</c:v>
                </c:pt>
                <c:pt idx="13">
                  <c:v>8383.33325436058</c:v>
                </c:pt>
                <c:pt idx="14">
                  <c:v>8852.28599579225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2773528"/>
        <c:axId val="2867676"/>
      </c:lineChart>
      <c:catAx>
        <c:axId val="627735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Fiscal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67676"/>
        <c:crosses val="autoZero"/>
        <c:auto val="1"/>
        <c:lblAlgn val="ctr"/>
        <c:lblOffset val="100"/>
        <c:noMultiLvlLbl val="0"/>
      </c:catAx>
      <c:valAx>
        <c:axId val="286767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 Cr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77352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21</xdr:col>
      <xdr:colOff>0</xdr:colOff>
      <xdr:row>5</xdr:row>
      <xdr:rowOff>0</xdr:rowOff>
    </xdr:from>
    <xdr:to>
      <xdr:col>29</xdr:col>
      <xdr:colOff>527400</xdr:colOff>
      <xdr:row>19</xdr:row>
      <xdr:rowOff>146520</xdr:rowOff>
    </xdr:to>
    <xdr:graphicFrame>
      <xdr:nvGraphicFramePr>
        <xdr:cNvPr id="0" name="Chart 1"/>
        <xdr:cNvGraphicFramePr/>
      </xdr:nvGraphicFramePr>
      <xdr:xfrm>
        <a:off x="19524240" y="1038240"/>
        <a:ext cx="611928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A86B"/>
    <pageSetUpPr fitToPage="true"/>
  </sheetPr>
  <dimension ref="B2:X9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5" min="3" style="1" width="4"/>
    <col collapsed="false" customWidth="true" hidden="false" outlineLevel="0" max="15" min="6" style="1" width="15"/>
    <col collapsed="false" customWidth="true" hidden="false" outlineLevel="0" max="24" min="16" style="1" width="12"/>
  </cols>
  <sheetData>
    <row r="2" customFormat="false" ht="24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customFormat="false" ht="15" hidden="false" customHeight="true" outlineLevel="0" collapsed="false">
      <c r="B4" s="3" t="s">
        <v>1</v>
      </c>
    </row>
    <row r="6" customFormat="false" ht="15" hidden="false" customHeight="true" outlineLevel="0" collapsed="false">
      <c r="B6" s="4" t="s">
        <v>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8" customFormat="false" ht="15" hidden="false" customHeight="true" outlineLevel="0" collapsed="false">
      <c r="B8" s="5" t="s">
        <v>3</v>
      </c>
      <c r="C8" s="5"/>
      <c r="D8" s="5"/>
      <c r="E8" s="5"/>
      <c r="F8" s="5" t="s">
        <v>4</v>
      </c>
      <c r="G8" s="5" t="s">
        <v>5</v>
      </c>
      <c r="H8" s="5" t="s">
        <v>6</v>
      </c>
      <c r="I8" s="5" t="s">
        <v>7</v>
      </c>
      <c r="J8" s="5" t="s">
        <v>8</v>
      </c>
      <c r="K8" s="5" t="s">
        <v>9</v>
      </c>
      <c r="L8" s="5" t="s">
        <v>10</v>
      </c>
      <c r="M8" s="5" t="s">
        <v>11</v>
      </c>
      <c r="N8" s="5" t="s">
        <v>12</v>
      </c>
      <c r="O8" s="5" t="s">
        <v>13</v>
      </c>
      <c r="P8" s="5" t="s">
        <v>14</v>
      </c>
      <c r="Q8" s="5" t="s">
        <v>15</v>
      </c>
      <c r="R8" s="5" t="s">
        <v>16</v>
      </c>
      <c r="S8" s="5" t="s">
        <v>17</v>
      </c>
      <c r="T8" s="5" t="s">
        <v>18</v>
      </c>
    </row>
    <row r="20" customFormat="false" ht="15" hidden="false" customHeight="true" outlineLevel="0" collapsed="false">
      <c r="B20" s="6" t="s">
        <v>19</v>
      </c>
      <c r="F20" s="7" t="n">
        <f aca="false">'RAW FS'!C7</f>
        <v>8917</v>
      </c>
      <c r="G20" s="7" t="n">
        <f aca="false">'RAW FS'!D7</f>
        <v>10660</v>
      </c>
      <c r="H20" s="7" t="n">
        <f aca="false">'RAW FS'!E7</f>
        <v>11333</v>
      </c>
      <c r="I20" s="7" t="n">
        <f aca="false">'RAW FS'!F7</f>
        <v>13140.31</v>
      </c>
      <c r="J20" s="7" t="n">
        <f aca="false">'RAW FS'!G7</f>
        <v>14600.83</v>
      </c>
      <c r="K20" s="7" t="n">
        <f aca="false">J20*(1+K21)</f>
        <v>16206.9213</v>
      </c>
      <c r="L20" s="7" t="n">
        <f aca="false">K20*(1+L21)</f>
        <v>17989.682643</v>
      </c>
      <c r="M20" s="7" t="n">
        <f aca="false">L20*(1+M21)</f>
        <v>19878.599320515</v>
      </c>
      <c r="N20" s="7" t="n">
        <f aca="false">M20*(1+N21)</f>
        <v>21866.4592525665</v>
      </c>
      <c r="O20" s="7" t="n">
        <f aca="false">N20*(1+O21)</f>
        <v>23943.7728815603</v>
      </c>
      <c r="P20" s="7" t="n">
        <f aca="false">O20*(1+P21)</f>
        <v>26098.7124409008</v>
      </c>
      <c r="Q20" s="7" t="n">
        <f aca="false">P20*(1+Q21)</f>
        <v>28186.6094361728</v>
      </c>
      <c r="R20" s="7" t="n">
        <f aca="false">Q20*(1+R21)</f>
        <v>30159.6720967049</v>
      </c>
      <c r="S20" s="7" t="n">
        <f aca="false">R20*(1+S21)</f>
        <v>32120.0507829907</v>
      </c>
      <c r="T20" s="7" t="n">
        <f aca="false">S20*(1+T21)</f>
        <v>34047.2538299702</v>
      </c>
    </row>
    <row r="21" customFormat="false" ht="15" hidden="false" customHeight="true" outlineLevel="0" collapsed="false">
      <c r="B21" s="6" t="s">
        <v>20</v>
      </c>
      <c r="F21" s="8"/>
      <c r="G21" s="9" t="n">
        <f aca="false">G20/F20-1</f>
        <v>0.195469328249411</v>
      </c>
      <c r="H21" s="9" t="n">
        <f aca="false">H20/G20-1</f>
        <v>0.0631332082551595</v>
      </c>
      <c r="I21" s="9" t="n">
        <f aca="false">I20/H20-1</f>
        <v>0.159473219800582</v>
      </c>
      <c r="J21" s="9" t="n">
        <f aca="false">J20/I20-1</f>
        <v>0.111148062716937</v>
      </c>
      <c r="K21" s="9" t="n">
        <f aca="false">'Data Sheet'!H30</f>
        <v>0.11</v>
      </c>
      <c r="L21" s="9" t="n">
        <f aca="false">'Data Sheet'!I30</f>
        <v>0.11</v>
      </c>
      <c r="M21" s="9" t="n">
        <f aca="false">'Data Sheet'!J30</f>
        <v>0.105</v>
      </c>
      <c r="N21" s="9" t="n">
        <f aca="false">'Data Sheet'!K30</f>
        <v>0.1</v>
      </c>
      <c r="O21" s="9" t="n">
        <f aca="false">'Data Sheet'!L30</f>
        <v>0.095</v>
      </c>
      <c r="P21" s="9" t="n">
        <f aca="false">'Data Sheet'!M30</f>
        <v>0.09</v>
      </c>
      <c r="Q21" s="9" t="n">
        <f aca="false">'Data Sheet'!N30</f>
        <v>0.08</v>
      </c>
      <c r="R21" s="9" t="n">
        <f aca="false">'Data Sheet'!O30</f>
        <v>0.07</v>
      </c>
      <c r="S21" s="9" t="n">
        <f aca="false">'Data Sheet'!P30</f>
        <v>0.065</v>
      </c>
      <c r="T21" s="9" t="n">
        <f aca="false">'Data Sheet'!Q30</f>
        <v>0.06</v>
      </c>
    </row>
    <row r="22" customFormat="false" ht="14.25" hidden="false" customHeight="true" outlineLevel="0" collapsed="false">
      <c r="V22" s="10" t="s">
        <v>21</v>
      </c>
    </row>
    <row r="23" customFormat="false" ht="15" hidden="false" customHeight="true" outlineLevel="0" collapsed="false">
      <c r="B23" s="6" t="s">
        <v>22</v>
      </c>
      <c r="F23" s="7" t="n">
        <f aca="false">'RAW FS'!C8</f>
        <v>2020</v>
      </c>
      <c r="G23" s="7" t="n">
        <f aca="false">'RAW FS'!D8</f>
        <v>2165</v>
      </c>
      <c r="H23" s="7" t="n">
        <f aca="false">'RAW FS'!E8</f>
        <v>3057</v>
      </c>
      <c r="I23" s="7" t="n">
        <f aca="false">'RAW FS'!F8</f>
        <v>3590</v>
      </c>
      <c r="J23" s="7" t="n">
        <f aca="false">'RAW FS'!G8</f>
        <v>4163.81</v>
      </c>
      <c r="K23" s="7" t="n">
        <f aca="false">K20*K24</f>
        <v>4456.9033575</v>
      </c>
      <c r="L23" s="7" t="n">
        <f aca="false">L20*L24</f>
        <v>4929.173044182</v>
      </c>
      <c r="M23" s="7" t="n">
        <f aca="false">M20*M24</f>
        <v>5406.97901518008</v>
      </c>
      <c r="N23" s="7" t="n">
        <f aca="false">N20*N24</f>
        <v>5903.94399819296</v>
      </c>
      <c r="O23" s="7" t="n">
        <f aca="false">O20*O24</f>
        <v>6416.93113225817</v>
      </c>
      <c r="P23" s="7" t="n">
        <f aca="false">P20*P24</f>
        <v>6942.2575092796</v>
      </c>
      <c r="Q23" s="7" t="n">
        <f aca="false">Q20*Q24</f>
        <v>7441.26489114962</v>
      </c>
      <c r="R23" s="7" t="n">
        <f aca="false">R20*R24</f>
        <v>7901.83408933669</v>
      </c>
      <c r="S23" s="7" t="n">
        <f aca="false">S20*S24</f>
        <v>8383.33325436058</v>
      </c>
      <c r="T23" s="7" t="n">
        <f aca="false">T20*T24</f>
        <v>8852.28599579225</v>
      </c>
    </row>
    <row r="24" customFormat="false" ht="15" hidden="false" customHeight="true" outlineLevel="0" collapsed="false">
      <c r="B24" s="6" t="s">
        <v>23</v>
      </c>
      <c r="F24" s="9" t="n">
        <f aca="false">F23/F20</f>
        <v>0.226533587529438</v>
      </c>
      <c r="G24" s="9" t="n">
        <f aca="false">G23/G20</f>
        <v>0.203095684803002</v>
      </c>
      <c r="H24" s="9" t="n">
        <f aca="false">H23/H20</f>
        <v>0.269743227741992</v>
      </c>
      <c r="I24" s="9" t="n">
        <f aca="false">I23/I20</f>
        <v>0.273205122253585</v>
      </c>
      <c r="J24" s="9" t="n">
        <f aca="false">J23/J20</f>
        <v>0.285176253678729</v>
      </c>
      <c r="K24" s="9" t="n">
        <f aca="false">'Data Sheet'!H31</f>
        <v>0.275</v>
      </c>
      <c r="L24" s="9" t="n">
        <f aca="false">'Data Sheet'!I31</f>
        <v>0.274</v>
      </c>
      <c r="M24" s="9" t="n">
        <f aca="false">'Data Sheet'!J31</f>
        <v>0.272</v>
      </c>
      <c r="N24" s="9" t="n">
        <f aca="false">'Data Sheet'!K31</f>
        <v>0.27</v>
      </c>
      <c r="O24" s="9" t="n">
        <f aca="false">'Data Sheet'!L31</f>
        <v>0.268</v>
      </c>
      <c r="P24" s="9" t="n">
        <f aca="false">'Data Sheet'!M31</f>
        <v>0.266</v>
      </c>
      <c r="Q24" s="9" t="n">
        <f aca="false">'Data Sheet'!N31</f>
        <v>0.264</v>
      </c>
      <c r="R24" s="9" t="n">
        <f aca="false">'Data Sheet'!O31</f>
        <v>0.262</v>
      </c>
      <c r="S24" s="9" t="n">
        <f aca="false">'Data Sheet'!P31</f>
        <v>0.261</v>
      </c>
      <c r="T24" s="9" t="n">
        <f aca="false">'Data Sheet'!Q31</f>
        <v>0.26</v>
      </c>
      <c r="V24" s="6" t="s">
        <v>24</v>
      </c>
      <c r="W24" s="6" t="s">
        <v>19</v>
      </c>
      <c r="X24" s="6" t="s">
        <v>22</v>
      </c>
    </row>
    <row r="25" customFormat="false" ht="14.25" hidden="false" customHeight="true" outlineLevel="0" collapsed="false">
      <c r="V25" s="6" t="s">
        <v>4</v>
      </c>
      <c r="W25" s="7" t="n">
        <f aca="false">F20</f>
        <v>8917</v>
      </c>
      <c r="X25" s="7" t="n">
        <f aca="false">F23</f>
        <v>2020</v>
      </c>
    </row>
    <row r="26" customFormat="false" ht="15" hidden="false" customHeight="true" outlineLevel="0" collapsed="false">
      <c r="B26" s="6" t="s">
        <v>25</v>
      </c>
      <c r="F26" s="7" t="n">
        <f aca="false">'RAW FS'!C9</f>
        <v>194</v>
      </c>
      <c r="G26" s="7" t="n">
        <f aca="false">'RAW FS'!D9</f>
        <v>222</v>
      </c>
      <c r="H26" s="7" t="n">
        <f aca="false">'RAW FS'!E9</f>
        <v>289</v>
      </c>
      <c r="I26" s="7" t="n">
        <f aca="false">'RAW FS'!F9</f>
        <v>358.48</v>
      </c>
      <c r="J26" s="7" t="n">
        <f aca="false">'RAW FS'!G9</f>
        <v>394.71</v>
      </c>
      <c r="K26" s="7" t="n">
        <f aca="false">K20*'Data Sheet'!H32</f>
        <v>437.5868751</v>
      </c>
      <c r="L26" s="7" t="n">
        <f aca="false">L20*'Data Sheet'!I32</f>
        <v>485.721431361</v>
      </c>
      <c r="M26" s="7" t="n">
        <f aca="false">M20*'Data Sheet'!J32</f>
        <v>536.722181653905</v>
      </c>
      <c r="N26" s="7" t="n">
        <f aca="false">N20*'Data Sheet'!K32</f>
        <v>590.394399819296</v>
      </c>
      <c r="O26" s="7" t="n">
        <f aca="false">O20*'Data Sheet'!L32</f>
        <v>646.481867802129</v>
      </c>
      <c r="P26" s="7" t="n">
        <f aca="false">P20*'Data Sheet'!M32</f>
        <v>704.66523590432</v>
      </c>
      <c r="Q26" s="7" t="n">
        <f aca="false">Q20*'Data Sheet'!N32</f>
        <v>761.038454776666</v>
      </c>
      <c r="R26" s="7" t="n">
        <f aca="false">R20*'Data Sheet'!O32</f>
        <v>814.311146611033</v>
      </c>
      <c r="S26" s="7" t="n">
        <f aca="false">S20*'Data Sheet'!P32</f>
        <v>867.24137114075</v>
      </c>
      <c r="T26" s="7" t="n">
        <f aca="false">T20*'Data Sheet'!Q32</f>
        <v>919.275853409195</v>
      </c>
      <c r="V26" s="6" t="s">
        <v>5</v>
      </c>
      <c r="W26" s="7" t="n">
        <f aca="false">G20</f>
        <v>10660</v>
      </c>
      <c r="X26" s="7" t="n">
        <f aca="false">G23</f>
        <v>2165</v>
      </c>
    </row>
    <row r="27" customFormat="false" ht="15" hidden="false" customHeight="true" outlineLevel="0" collapsed="false">
      <c r="B27" s="6" t="s">
        <v>26</v>
      </c>
      <c r="F27" s="7" t="n">
        <f aca="false">F23-F26</f>
        <v>1826</v>
      </c>
      <c r="G27" s="7" t="n">
        <f aca="false">G23-G26</f>
        <v>1943</v>
      </c>
      <c r="H27" s="7" t="n">
        <f aca="false">H23-H26</f>
        <v>2768</v>
      </c>
      <c r="I27" s="7" t="n">
        <f aca="false">I23-I26</f>
        <v>3231.52</v>
      </c>
      <c r="J27" s="7" t="n">
        <f aca="false">J23-J26</f>
        <v>3769.1</v>
      </c>
      <c r="K27" s="7" t="n">
        <f aca="false">K23-K26</f>
        <v>4019.3164824</v>
      </c>
      <c r="L27" s="7" t="n">
        <f aca="false">L23-L26</f>
        <v>4443.451612821</v>
      </c>
      <c r="M27" s="7" t="n">
        <f aca="false">M23-M26</f>
        <v>4870.25683352618</v>
      </c>
      <c r="N27" s="7" t="n">
        <f aca="false">N23-N26</f>
        <v>5313.54959837366</v>
      </c>
      <c r="O27" s="7" t="n">
        <f aca="false">O23-O26</f>
        <v>5770.44926445604</v>
      </c>
      <c r="P27" s="7" t="n">
        <f aca="false">P23-P26</f>
        <v>6237.59227337528</v>
      </c>
      <c r="Q27" s="7" t="n">
        <f aca="false">Q23-Q26</f>
        <v>6680.22643637296</v>
      </c>
      <c r="R27" s="7" t="n">
        <f aca="false">R23-R26</f>
        <v>7087.52294272565</v>
      </c>
      <c r="S27" s="7" t="n">
        <f aca="false">S23-S26</f>
        <v>7516.09188321983</v>
      </c>
      <c r="T27" s="7" t="n">
        <f aca="false">T23-T26</f>
        <v>7933.01014238305</v>
      </c>
      <c r="V27" s="6" t="s">
        <v>6</v>
      </c>
      <c r="W27" s="7" t="n">
        <f aca="false">H20</f>
        <v>11333</v>
      </c>
      <c r="X27" s="7" t="n">
        <f aca="false">H23</f>
        <v>3057</v>
      </c>
    </row>
    <row r="28" customFormat="false" ht="14.25" hidden="false" customHeight="true" outlineLevel="0" collapsed="false">
      <c r="V28" s="6" t="s">
        <v>7</v>
      </c>
      <c r="W28" s="7" t="n">
        <f aca="false">I20</f>
        <v>13140.31</v>
      </c>
      <c r="X28" s="7" t="n">
        <f aca="false">I23</f>
        <v>3590</v>
      </c>
    </row>
    <row r="29" customFormat="false" ht="15" hidden="false" customHeight="true" outlineLevel="0" collapsed="false">
      <c r="B29" s="6" t="s">
        <v>27</v>
      </c>
      <c r="F29" s="9" t="n">
        <f aca="false">('RAW FS'!C11-'RAW FS'!C12)/'RAW FS'!C11</f>
        <v>0.248205741626794</v>
      </c>
      <c r="G29" s="9" t="n">
        <f aca="false">('RAW FS'!D11-'RAW FS'!D12)/'RAW FS'!D11</f>
        <v>0.266013871889025</v>
      </c>
      <c r="H29" s="9" t="n">
        <f aca="false">('RAW FS'!E11-'RAW FS'!E12)/'RAW FS'!E11</f>
        <v>0.146162932790224</v>
      </c>
      <c r="I29" s="9" t="n">
        <f aca="false">('RAW FS'!F11-'RAW FS'!F12)/'RAW FS'!F11</f>
        <v>0.264448931873738</v>
      </c>
      <c r="J29" s="9" t="n">
        <f aca="false">('RAW FS'!G11-'RAW FS'!G12)/'RAW FS'!G11</f>
        <v>0.26241126207393</v>
      </c>
      <c r="K29" s="9" t="n">
        <f aca="false">'Data Sheet'!H35</f>
        <v>0.255</v>
      </c>
      <c r="L29" s="9" t="n">
        <f aca="false">'Data Sheet'!I35</f>
        <v>0.255</v>
      </c>
      <c r="M29" s="9" t="n">
        <f aca="false">'Data Sheet'!J35</f>
        <v>0.255</v>
      </c>
      <c r="N29" s="9" t="n">
        <f aca="false">'Data Sheet'!K35</f>
        <v>0.255</v>
      </c>
      <c r="O29" s="9" t="n">
        <f aca="false">'Data Sheet'!L35</f>
        <v>0.255</v>
      </c>
      <c r="P29" s="9" t="n">
        <f aca="false">'Data Sheet'!M35</f>
        <v>0.255</v>
      </c>
      <c r="Q29" s="9" t="n">
        <f aca="false">'Data Sheet'!N35</f>
        <v>0.255</v>
      </c>
      <c r="R29" s="9" t="n">
        <f aca="false">'Data Sheet'!O35</f>
        <v>0.255</v>
      </c>
      <c r="S29" s="9" t="n">
        <f aca="false">'Data Sheet'!P35</f>
        <v>0.255</v>
      </c>
      <c r="T29" s="9" t="n">
        <f aca="false">'Data Sheet'!Q35</f>
        <v>0.255</v>
      </c>
      <c r="V29" s="6" t="s">
        <v>8</v>
      </c>
      <c r="W29" s="7" t="n">
        <f aca="false">J20</f>
        <v>14600.83</v>
      </c>
      <c r="X29" s="7" t="n">
        <f aca="false">J23</f>
        <v>4163.81</v>
      </c>
    </row>
    <row r="30" customFormat="false" ht="15" hidden="false" customHeight="true" outlineLevel="0" collapsed="false">
      <c r="B30" s="6" t="s">
        <v>28</v>
      </c>
      <c r="F30" s="7" t="n">
        <f aca="false">F27*(1-F29)</f>
        <v>1372.77631578947</v>
      </c>
      <c r="G30" s="7" t="n">
        <f aca="false">G27*(1-G29)</f>
        <v>1426.13504691962</v>
      </c>
      <c r="H30" s="7" t="n">
        <f aca="false">H27*(1-H29)</f>
        <v>2363.42100203666</v>
      </c>
      <c r="I30" s="7" t="n">
        <f aca="false">I27*(1-I29)</f>
        <v>2376.94798767138</v>
      </c>
      <c r="J30" s="7" t="n">
        <f aca="false">J27*(1-J29)</f>
        <v>2780.04571211715</v>
      </c>
      <c r="K30" s="7" t="n">
        <f aca="false">K27*(1-K29)</f>
        <v>2994.390779388</v>
      </c>
      <c r="L30" s="7" t="n">
        <f aca="false">L27*(1-L29)</f>
        <v>3310.37145155165</v>
      </c>
      <c r="M30" s="7" t="n">
        <f aca="false">M27*(1-M29)</f>
        <v>3628.341340977</v>
      </c>
      <c r="N30" s="7" t="n">
        <f aca="false">N27*(1-N29)</f>
        <v>3958.59445078838</v>
      </c>
      <c r="O30" s="7" t="n">
        <f aca="false">O27*(1-O29)</f>
        <v>4298.98470201975</v>
      </c>
      <c r="P30" s="7" t="n">
        <f aca="false">P27*(1-P29)</f>
        <v>4647.00624366459</v>
      </c>
      <c r="Q30" s="7" t="n">
        <f aca="false">Q27*(1-Q29)</f>
        <v>4976.76869509785</v>
      </c>
      <c r="R30" s="7" t="n">
        <f aca="false">R27*(1-R29)</f>
        <v>5280.20459233061</v>
      </c>
      <c r="S30" s="7" t="n">
        <f aca="false">S27*(1-S29)</f>
        <v>5599.48845299877</v>
      </c>
      <c r="T30" s="7" t="n">
        <f aca="false">T27*(1-T29)</f>
        <v>5910.09255607537</v>
      </c>
      <c r="V30" s="6" t="s">
        <v>9</v>
      </c>
      <c r="W30" s="7" t="n">
        <f aca="false">K20</f>
        <v>16206.9213</v>
      </c>
      <c r="X30" s="7" t="n">
        <f aca="false">K23</f>
        <v>4456.9033575</v>
      </c>
    </row>
    <row r="31" customFormat="false" ht="14.25" hidden="false" customHeight="true" outlineLevel="0" collapsed="false">
      <c r="V31" s="6" t="s">
        <v>10</v>
      </c>
      <c r="W31" s="7" t="n">
        <f aca="false">L20</f>
        <v>17989.682643</v>
      </c>
      <c r="X31" s="7" t="n">
        <f aca="false">L23</f>
        <v>4929.173044182</v>
      </c>
    </row>
    <row r="32" customFormat="false" ht="15" hidden="false" customHeight="true" outlineLevel="0" collapsed="false">
      <c r="B32" s="6" t="s">
        <v>29</v>
      </c>
      <c r="F32" s="7" t="n">
        <f aca="false">'RAW FS'!C13</f>
        <v>374.7</v>
      </c>
      <c r="G32" s="7" t="n">
        <f aca="false">'RAW FS'!D13</f>
        <v>505.4</v>
      </c>
      <c r="H32" s="7" t="n">
        <f aca="false">'RAW FS'!E13</f>
        <v>558.7</v>
      </c>
      <c r="I32" s="7" t="n">
        <f aca="false">'RAW FS'!F13</f>
        <v>452.34</v>
      </c>
      <c r="J32" s="7" t="n">
        <f aca="false">'RAW FS'!G13</f>
        <v>592.77</v>
      </c>
      <c r="K32" s="7" t="n">
        <f aca="false">K20*'Data Sheet'!H33</f>
        <v>648.276852</v>
      </c>
      <c r="L32" s="7" t="n">
        <f aca="false">L20*'Data Sheet'!I33</f>
        <v>719.58730572</v>
      </c>
      <c r="M32" s="7" t="n">
        <f aca="false">M20*'Data Sheet'!J33</f>
        <v>795.1439728206</v>
      </c>
      <c r="N32" s="7" t="n">
        <f aca="false">N20*'Data Sheet'!K33</f>
        <v>874.65837010266</v>
      </c>
      <c r="O32" s="7" t="n">
        <f aca="false">O20*'Data Sheet'!L33</f>
        <v>957.750915262413</v>
      </c>
      <c r="P32" s="7" t="n">
        <f aca="false">P20*'Data Sheet'!M33</f>
        <v>1043.94849763603</v>
      </c>
      <c r="Q32" s="7" t="n">
        <f aca="false">Q20*'Data Sheet'!N33</f>
        <v>1127.46437744691</v>
      </c>
      <c r="R32" s="7" t="n">
        <f aca="false">R20*'Data Sheet'!O33</f>
        <v>1206.3868838682</v>
      </c>
      <c r="S32" s="7" t="n">
        <f aca="false">S20*'Data Sheet'!P33</f>
        <v>1284.80203131963</v>
      </c>
      <c r="T32" s="7" t="n">
        <f aca="false">T20*'Data Sheet'!Q33</f>
        <v>1361.89015319881</v>
      </c>
      <c r="V32" s="6" t="s">
        <v>11</v>
      </c>
      <c r="W32" s="7" t="n">
        <f aca="false">M20</f>
        <v>19878.599320515</v>
      </c>
      <c r="X32" s="7" t="n">
        <f aca="false">M23</f>
        <v>5406.97901518008</v>
      </c>
    </row>
    <row r="33" customFormat="false" ht="14.25" hidden="false" customHeight="true" outlineLevel="0" collapsed="false">
      <c r="V33" s="6" t="s">
        <v>12</v>
      </c>
      <c r="W33" s="7" t="n">
        <f aca="false">N20</f>
        <v>21866.4592525665</v>
      </c>
      <c r="X33" s="7" t="n">
        <f aca="false">N23</f>
        <v>5903.94399819296</v>
      </c>
    </row>
    <row r="34" customFormat="false" ht="15" hidden="false" customHeight="true" outlineLevel="0" collapsed="false">
      <c r="B34" s="6" t="s">
        <v>30</v>
      </c>
      <c r="F34" s="7" t="n">
        <f aca="false">'RAW FS'!C19</f>
        <v>1490.2</v>
      </c>
      <c r="G34" s="7" t="n">
        <f aca="false">'RAW FS'!D19</f>
        <v>1491.29</v>
      </c>
      <c r="H34" s="7" t="n">
        <f aca="false">'RAW FS'!E19</f>
        <v>962.69</v>
      </c>
      <c r="I34" s="7" t="n">
        <f aca="false">'RAW FS'!F19</f>
        <v>1070.79</v>
      </c>
      <c r="J34" s="7" t="n">
        <f aca="false">'RAW FS'!G19</f>
        <v>1091.31</v>
      </c>
      <c r="K34" s="7" t="n">
        <f aca="false">K20*'Data Sheet'!H34</f>
        <v>1296.553704</v>
      </c>
      <c r="L34" s="7" t="n">
        <f aca="false">L20*'Data Sheet'!I34</f>
        <v>1439.17461144</v>
      </c>
      <c r="M34" s="7" t="n">
        <f aca="false">M20*'Data Sheet'!J34</f>
        <v>1590.2879456412</v>
      </c>
      <c r="N34" s="7" t="n">
        <f aca="false">N20*'Data Sheet'!K34</f>
        <v>1749.31674020532</v>
      </c>
      <c r="O34" s="7" t="n">
        <f aca="false">O20*'Data Sheet'!L34</f>
        <v>1915.50183052483</v>
      </c>
      <c r="P34" s="7" t="n">
        <f aca="false">P20*'Data Sheet'!M34</f>
        <v>2087.89699527206</v>
      </c>
      <c r="Q34" s="7" t="n">
        <f aca="false">Q20*'Data Sheet'!N34</f>
        <v>2254.92875489383</v>
      </c>
      <c r="R34" s="7" t="n">
        <f aca="false">R20*'Data Sheet'!O34</f>
        <v>2412.77376773639</v>
      </c>
      <c r="S34" s="7" t="n">
        <f aca="false">S20*'Data Sheet'!P34</f>
        <v>2569.60406263926</v>
      </c>
      <c r="T34" s="7" t="n">
        <f aca="false">T20*'Data Sheet'!Q34</f>
        <v>2723.78030639761</v>
      </c>
      <c r="V34" s="6" t="s">
        <v>13</v>
      </c>
      <c r="W34" s="7" t="n">
        <f aca="false">O20</f>
        <v>23943.7728815603</v>
      </c>
      <c r="X34" s="7" t="n">
        <f aca="false">O23</f>
        <v>6416.93113225817</v>
      </c>
    </row>
    <row r="35" customFormat="false" ht="15" hidden="false" customHeight="true" outlineLevel="0" collapsed="false">
      <c r="B35" s="6" t="s">
        <v>31</v>
      </c>
      <c r="F35" s="11"/>
      <c r="G35" s="7" t="n">
        <f aca="false">G34-F34</f>
        <v>1.08999999999992</v>
      </c>
      <c r="H35" s="7" t="n">
        <f aca="false">H34-G34</f>
        <v>-528.6</v>
      </c>
      <c r="I35" s="7" t="n">
        <f aca="false">I34-H34</f>
        <v>108.1</v>
      </c>
      <c r="J35" s="7" t="n">
        <f aca="false">J34-I34</f>
        <v>20.52</v>
      </c>
      <c r="K35" s="7" t="n">
        <f aca="false">K34-J34</f>
        <v>205.243704</v>
      </c>
      <c r="L35" s="7" t="n">
        <f aca="false">L34-K34</f>
        <v>142.62090744</v>
      </c>
      <c r="M35" s="7" t="n">
        <f aca="false">M34-L34</f>
        <v>151.1133342012</v>
      </c>
      <c r="N35" s="7" t="n">
        <f aca="false">N34-M34</f>
        <v>159.02879456412</v>
      </c>
      <c r="O35" s="7" t="n">
        <f aca="false">O34-N34</f>
        <v>166.185090319506</v>
      </c>
      <c r="P35" s="7" t="n">
        <f aca="false">P34-O34</f>
        <v>172.395164747234</v>
      </c>
      <c r="Q35" s="7" t="n">
        <f aca="false">Q34-P34</f>
        <v>167.031759621765</v>
      </c>
      <c r="R35" s="7" t="n">
        <f aca="false">R34-Q34</f>
        <v>157.845012842568</v>
      </c>
      <c r="S35" s="7" t="n">
        <f aca="false">S34-R34</f>
        <v>156.830294902865</v>
      </c>
      <c r="T35" s="7" t="n">
        <f aca="false">T34-S34</f>
        <v>154.176243758356</v>
      </c>
      <c r="V35" s="6" t="s">
        <v>14</v>
      </c>
      <c r="W35" s="7" t="n">
        <f aca="false">P20</f>
        <v>26098.7124409008</v>
      </c>
      <c r="X35" s="7" t="n">
        <f aca="false">P23</f>
        <v>6942.2575092796</v>
      </c>
    </row>
    <row r="36" customFormat="false" ht="14.25" hidden="false" customHeight="true" outlineLevel="0" collapsed="false">
      <c r="V36" s="6" t="s">
        <v>15</v>
      </c>
      <c r="W36" s="7" t="n">
        <f aca="false">Q20</f>
        <v>28186.6094361728</v>
      </c>
      <c r="X36" s="7" t="n">
        <f aca="false">Q23</f>
        <v>7441.26489114962</v>
      </c>
    </row>
    <row r="37" customFormat="false" ht="15" hidden="false" customHeight="true" outlineLevel="0" collapsed="false">
      <c r="B37" s="6" t="s">
        <v>32</v>
      </c>
      <c r="F37" s="11"/>
      <c r="G37" s="11"/>
      <c r="H37" s="11"/>
      <c r="I37" s="11"/>
      <c r="J37" s="11"/>
      <c r="K37" s="7" t="n">
        <f aca="false">K30+K26-K32-K35</f>
        <v>2578.457098488</v>
      </c>
      <c r="L37" s="7" t="n">
        <f aca="false">L30+L26-L32-L35</f>
        <v>2933.88466975265</v>
      </c>
      <c r="M37" s="7" t="n">
        <f aca="false">M30+M26-M32-M35</f>
        <v>3218.80621560911</v>
      </c>
      <c r="N37" s="7" t="n">
        <f aca="false">N30+N26-N32-N35</f>
        <v>3515.30168594089</v>
      </c>
      <c r="O37" s="7" t="n">
        <f aca="false">O30+O26-O32-O35</f>
        <v>3821.53056423996</v>
      </c>
      <c r="P37" s="7" t="n">
        <f aca="false">P30+P26-P32-P35</f>
        <v>4135.32781718564</v>
      </c>
      <c r="Q37" s="7" t="n">
        <f aca="false">Q30+Q26-Q32-Q35</f>
        <v>4443.31101280584</v>
      </c>
      <c r="R37" s="7" t="n">
        <f aca="false">R30+R26-R32-R35</f>
        <v>4730.28384223088</v>
      </c>
      <c r="S37" s="7" t="n">
        <f aca="false">S30+S26-S32-S35</f>
        <v>5025.09749791703</v>
      </c>
      <c r="T37" s="7" t="n">
        <f aca="false">T30+T26-T32-T35</f>
        <v>5313.30201252741</v>
      </c>
      <c r="V37" s="6" t="s">
        <v>16</v>
      </c>
      <c r="W37" s="7" t="n">
        <f aca="false">R20</f>
        <v>30159.6720967049</v>
      </c>
      <c r="X37" s="7" t="n">
        <f aca="false">R23</f>
        <v>7901.83408933669</v>
      </c>
    </row>
    <row r="38" customFormat="false" ht="15" hidden="false" customHeight="true" outlineLevel="0" collapsed="false">
      <c r="B38" s="6" t="s">
        <v>33</v>
      </c>
      <c r="F38" s="8"/>
      <c r="G38" s="8"/>
      <c r="H38" s="8"/>
      <c r="I38" s="8"/>
      <c r="J38" s="8"/>
      <c r="K38" s="9" t="n">
        <f aca="false">1/(1+$N$44)^0.5</f>
        <v>0.942680800694578</v>
      </c>
      <c r="L38" s="9" t="n">
        <f aca="false">1/(1+$N$44)^1.5</f>
        <v>0.837710552219742</v>
      </c>
      <c r="M38" s="9" t="n">
        <f aca="false">1/(1+$N$44)^2.5</f>
        <v>0.744429046166255</v>
      </c>
      <c r="N38" s="9" t="n">
        <f aca="false">1/(1+$N$44)^3.5</f>
        <v>0.661534707074614</v>
      </c>
      <c r="O38" s="9" t="n">
        <f aca="false">1/(1+$N$44)^4.5</f>
        <v>0.587870893697716</v>
      </c>
      <c r="P38" s="9" t="n">
        <f aca="false">1/(1+$N$44)^5.5</f>
        <v>0.522409760154841</v>
      </c>
      <c r="Q38" s="9" t="n">
        <f aca="false">1/(1+$N$44)^6.5</f>
        <v>0.464237914193061</v>
      </c>
      <c r="R38" s="9" t="n">
        <f aca="false">1/(1+$N$44)^7.5</f>
        <v>0.412543672442959</v>
      </c>
      <c r="S38" s="9" t="n">
        <f aca="false">1/(1+$N$44)^8.5</f>
        <v>0.366605734838681</v>
      </c>
      <c r="T38" s="9" t="n">
        <f aca="false">1/(1+$N$44)^9.5</f>
        <v>0.325783120174246</v>
      </c>
      <c r="V38" s="6" t="s">
        <v>17</v>
      </c>
      <c r="W38" s="7" t="n">
        <f aca="false">S20</f>
        <v>32120.0507829907</v>
      </c>
      <c r="X38" s="7" t="n">
        <f aca="false">S23</f>
        <v>8383.33325436058</v>
      </c>
    </row>
    <row r="39" customFormat="false" ht="15" hidden="false" customHeight="true" outlineLevel="0" collapsed="false">
      <c r="B39" s="6" t="s">
        <v>34</v>
      </c>
      <c r="F39" s="11"/>
      <c r="G39" s="11"/>
      <c r="H39" s="11"/>
      <c r="I39" s="11"/>
      <c r="J39" s="11"/>
      <c r="K39" s="7" t="n">
        <f aca="false">K37*K38</f>
        <v>2430.66200215929</v>
      </c>
      <c r="L39" s="7" t="n">
        <f aca="false">L37*L38</f>
        <v>2457.74614684753</v>
      </c>
      <c r="M39" s="7" t="n">
        <f aca="false">M37*M38</f>
        <v>2396.1728408799</v>
      </c>
      <c r="N39" s="7" t="n">
        <f aca="false">N37*N38</f>
        <v>2325.4940710878</v>
      </c>
      <c r="O39" s="7" t="n">
        <f aca="false">O37*O38</f>
        <v>2246.56658809288</v>
      </c>
      <c r="P39" s="7" t="n">
        <f aca="false">P37*P38</f>
        <v>2160.33561313759</v>
      </c>
      <c r="Q39" s="7" t="n">
        <f aca="false">Q37*Q38</f>
        <v>2062.75343669604</v>
      </c>
      <c r="R39" s="7" t="n">
        <f aca="false">R37*R38</f>
        <v>1951.44866797152</v>
      </c>
      <c r="S39" s="7" t="n">
        <f aca="false">S37*S38</f>
        <v>1842.22956085989</v>
      </c>
      <c r="T39" s="7" t="n">
        <f aca="false">T37*T38</f>
        <v>1730.98410806928</v>
      </c>
      <c r="V39" s="6" t="s">
        <v>18</v>
      </c>
      <c r="W39" s="7" t="n">
        <f aca="false">T20</f>
        <v>34047.2538299702</v>
      </c>
      <c r="X39" s="7" t="n">
        <f aca="false">T23</f>
        <v>8852.28599579225</v>
      </c>
    </row>
    <row r="42" customFormat="false" ht="15" hidden="false" customHeight="true" outlineLevel="0" collapsed="false">
      <c r="B42" s="4" t="s">
        <v>35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4" customFormat="false" ht="15" hidden="false" customHeight="true" outlineLevel="0" collapsed="false">
      <c r="B44" s="6" t="s">
        <v>36</v>
      </c>
      <c r="N44" s="9" t="n">
        <f aca="false">WACC!D39</f>
        <v>0.125306107457627</v>
      </c>
    </row>
    <row r="45" customFormat="false" ht="15" hidden="false" customHeight="true" outlineLevel="0" collapsed="false">
      <c r="B45" s="6" t="s">
        <v>37</v>
      </c>
      <c r="N45" s="9" t="n">
        <f aca="false">'Data Sheet'!C39</f>
        <v>0.055</v>
      </c>
    </row>
    <row r="46" customFormat="false" ht="15" hidden="false" customHeight="true" outlineLevel="0" collapsed="false">
      <c r="B46" s="6" t="s">
        <v>38</v>
      </c>
      <c r="N46" s="7" t="n">
        <f aca="false">SUM(K39:T39)</f>
        <v>21604.3930358017</v>
      </c>
    </row>
    <row r="47" customFormat="false" ht="15" hidden="false" customHeight="true" outlineLevel="0" collapsed="false">
      <c r="B47" s="6" t="s">
        <v>39</v>
      </c>
      <c r="N47" s="7" t="n">
        <f aca="false">T37</f>
        <v>5313.30201252741</v>
      </c>
    </row>
    <row r="48" customFormat="false" ht="15" hidden="false" customHeight="true" outlineLevel="0" collapsed="false">
      <c r="B48" s="6" t="s">
        <v>40</v>
      </c>
      <c r="N48" s="7" t="n">
        <f aca="false">N47*(1+N45)/(N44-N45)</f>
        <v>79730.3936446039</v>
      </c>
    </row>
    <row r="49" customFormat="false" ht="15" hidden="false" customHeight="true" outlineLevel="0" collapsed="false">
      <c r="B49" s="6" t="s">
        <v>41</v>
      </c>
      <c r="N49" s="7" t="n">
        <f aca="false">N48*T38</f>
        <v>25974.8164142599</v>
      </c>
    </row>
    <row r="50" customFormat="false" ht="15" hidden="false" customHeight="true" outlineLevel="0" collapsed="false">
      <c r="B50" s="12" t="s">
        <v>42</v>
      </c>
      <c r="N50" s="13" t="n">
        <f aca="false">N46+N49</f>
        <v>47579.2094500616</v>
      </c>
    </row>
    <row r="51" customFormat="false" ht="15" hidden="false" customHeight="true" outlineLevel="0" collapsed="false">
      <c r="B51" s="6" t="s">
        <v>43</v>
      </c>
      <c r="N51" s="7" t="n">
        <f aca="false">'Data Sheet'!C13+'Data Sheet'!C14</f>
        <v>4218.73</v>
      </c>
    </row>
    <row r="52" customFormat="false" ht="15" hidden="false" customHeight="true" outlineLevel="0" collapsed="false">
      <c r="B52" s="6" t="s">
        <v>44</v>
      </c>
      <c r="N52" s="7" t="n">
        <f aca="false">'Data Sheet'!C12</f>
        <v>105.91</v>
      </c>
    </row>
    <row r="53" customFormat="false" ht="15" hidden="false" customHeight="true" outlineLevel="0" collapsed="false">
      <c r="B53" s="12" t="s">
        <v>45</v>
      </c>
      <c r="N53" s="13" t="n">
        <f aca="false">N50+N51-N52</f>
        <v>51692.0294500616</v>
      </c>
    </row>
    <row r="54" customFormat="false" ht="15" hidden="false" customHeight="true" outlineLevel="0" collapsed="false">
      <c r="B54" s="6" t="s">
        <v>46</v>
      </c>
      <c r="N54" s="7" t="n">
        <f aca="false">'Data Sheet'!C9</f>
        <v>1018.049209</v>
      </c>
    </row>
    <row r="55" customFormat="false" ht="15" hidden="false" customHeight="true" outlineLevel="0" collapsed="false">
      <c r="B55" s="12" t="s">
        <v>47</v>
      </c>
      <c r="N55" s="13" t="n">
        <f aca="false">N53/N54*10</f>
        <v>507.755705648426</v>
      </c>
    </row>
    <row r="56" customFormat="false" ht="15" hidden="false" customHeight="true" outlineLevel="0" collapsed="false">
      <c r="B56" s="6" t="s">
        <v>48</v>
      </c>
      <c r="N56" s="7" t="n">
        <f aca="false">'Data Sheet'!C8</f>
        <v>1517.2</v>
      </c>
    </row>
    <row r="57" customFormat="false" ht="15" hidden="false" customHeight="true" outlineLevel="0" collapsed="false">
      <c r="B57" s="12" t="s">
        <v>49</v>
      </c>
      <c r="N57" s="14" t="n">
        <f aca="false">N55/N56-1</f>
        <v>-0.665333703105441</v>
      </c>
    </row>
    <row r="58" customFormat="false" ht="15" hidden="false" customHeight="true" outlineLevel="0" collapsed="false">
      <c r="B58" s="15" t="s">
        <v>50</v>
      </c>
      <c r="N58" s="16" t="n">
        <f aca="false">Comps!D35</f>
        <v>1149.91180456578</v>
      </c>
    </row>
    <row r="59" customFormat="false" ht="15" hidden="false" customHeight="true" outlineLevel="0" collapsed="false">
      <c r="B59" s="15" t="s">
        <v>51</v>
      </c>
      <c r="N59" s="16" t="n">
        <f aca="false">Comps!D37</f>
        <v>1034.61412551085</v>
      </c>
    </row>
    <row r="60" customFormat="false" ht="15" hidden="false" customHeight="true" outlineLevel="0" collapsed="false">
      <c r="B60" s="15" t="s">
        <v>52</v>
      </c>
      <c r="N60" s="17" t="n">
        <f aca="false">N55/N58-1</f>
        <v>-0.558439435413778</v>
      </c>
    </row>
    <row r="62" customFormat="false" ht="15" hidden="false" customHeight="true" outlineLevel="0" collapsed="false"/>
    <row r="63" customFormat="false" ht="15" hidden="false" customHeight="true" outlineLevel="0" collapsed="false">
      <c r="B63" s="4" t="s">
        <v>53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customFormat="false" ht="15" hidden="false" customHeight="true" outlineLevel="0" collapsed="false"/>
    <row r="65" customFormat="false" ht="15" hidden="false" customHeight="true" outlineLevel="0" collapsed="false">
      <c r="B65" s="6" t="s">
        <v>54</v>
      </c>
      <c r="F65" s="9" t="n">
        <f aca="false">$N$45-0.01</f>
        <v>0.045</v>
      </c>
      <c r="G65" s="9" t="n">
        <f aca="false">$N$45-0.005</f>
        <v>0.05</v>
      </c>
      <c r="H65" s="9" t="n">
        <f aca="false">$N$45</f>
        <v>0.055</v>
      </c>
      <c r="I65" s="9" t="n">
        <f aca="false">$N$45+0.005</f>
        <v>0.06</v>
      </c>
      <c r="J65" s="9" t="n">
        <f aca="false">$N$45+0.01</f>
        <v>0.065</v>
      </c>
    </row>
    <row r="66" customFormat="false" ht="15" hidden="false" customHeight="true" outlineLevel="0" collapsed="false">
      <c r="B66" s="9" t="n">
        <f aca="false">$N$44-0.03</f>
        <v>0.0953061074576269</v>
      </c>
      <c r="F66" s="18" t="n">
        <f aca="false">((($K$37/(1+$B66)^0.5)+($L$37/(1+$B66)^1.5)+($M$37/(1+$B66)^2.5)+($N$37/(1+$B66)^3.5)+($O$37/(1+$B66)^4.5)+($P$37/(1+$B66)^5.5)+($Q$37/(1+$B66)^6.5)+($R$37/(1+$B66)^7.5)+($S$37/(1+$B66)^8.5)+($T$37/(1+$B66)^9.5)+($T$37*(1+F$65)/($B66-F$65))/((1+$B66)^9.5)+$N$51-$N$52)/$N$54*10)</f>
        <v>738.51155707583</v>
      </c>
      <c r="G66" s="18" t="n">
        <f aca="false">((($K$37/(1+$B66)^0.5)+($L$37/(1+$B66)^1.5)+($M$37/(1+$B66)^2.5)+($N$37/(1+$B66)^3.5)+($O$37/(1+$B66)^4.5)+($P$37/(1+$B66)^5.5)+($Q$37/(1+$B66)^6.5)+($R$37/(1+$B66)^7.5)+($S$37/(1+$B66)^8.5)+($T$37/(1+$B66)^9.5)+($T$37*(1+G$65)/($B66-G$65))/((1+$B66)^9.5)+$N$51-$N$52)/$N$54*10)</f>
        <v>791.324022473036</v>
      </c>
      <c r="H66" s="18" t="n">
        <f aca="false">((($K$37/(1+$B66)^0.5)+($L$37/(1+$B66)^1.5)+($M$37/(1+$B66)^2.5)+($N$37/(1+$B66)^3.5)+($O$37/(1+$B66)^4.5)+($P$37/(1+$B66)^5.5)+($Q$37/(1+$B66)^6.5)+($R$37/(1+$B66)^7.5)+($S$37/(1+$B66)^8.5)+($T$37/(1+$B66)^9.5)+($T$37*(1+H$65)/($B66-H$65))/((1+$B66)^9.5)+$N$51-$N$52)/$N$54*10)</f>
        <v>857.239332259948</v>
      </c>
      <c r="I66" s="18" t="n">
        <f aca="false">((($K$37/(1+$B66)^0.5)+($L$37/(1+$B66)^1.5)+($M$37/(1+$B66)^2.5)+($N$37/(1+$B66)^3.5)+($O$37/(1+$B66)^4.5)+($P$37/(1+$B66)^5.5)+($Q$37/(1+$B66)^6.5)+($R$37/(1+$B66)^7.5)+($S$37/(1+$B66)^8.5)+($T$37/(1+$B66)^9.5)+($T$37*(1+I$65)/($B66-I$65))/((1+$B66)^9.5)+$N$51-$N$52)/$N$54*10)</f>
        <v>941.824304191297</v>
      </c>
      <c r="J66" s="18" t="n">
        <f aca="false">((($K$37/(1+$B66)^0.5)+($L$37/(1+$B66)^1.5)+($M$37/(1+$B66)^2.5)+($N$37/(1+$B66)^3.5)+($O$37/(1+$B66)^4.5)+($P$37/(1+$B66)^5.5)+($Q$37/(1+$B66)^6.5)+($R$37/(1+$B66)^7.5)+($S$37/(1+$B66)^8.5)+($T$37/(1+$B66)^9.5)+($T$37*(1+J$65)/($B66-J$65))/((1+$B66)^9.5)+$N$51-$N$52)/$N$54*10)</f>
        <v>1054.31948268732</v>
      </c>
    </row>
    <row r="67" customFormat="false" ht="15" hidden="false" customHeight="true" outlineLevel="0" collapsed="false">
      <c r="B67" s="9" t="n">
        <f aca="false">$N$44-0.015</f>
        <v>0.110306107457627</v>
      </c>
      <c r="F67" s="18" t="n">
        <f aca="false">((($K$37/(1+$B67)^0.5)+($L$37/(1+$B67)^1.5)+($M$37/(1+$B67)^2.5)+($N$37/(1+$B67)^3.5)+($O$37/(1+$B67)^4.5)+($P$37/(1+$B67)^5.5)+($Q$37/(1+$B67)^6.5)+($R$37/(1+$B67)^7.5)+($S$37/(1+$B67)^8.5)+($T$37/(1+$B67)^9.5)+($T$37*(1+F$65)/($B67-F$65))/((1+$B67)^9.5)+$N$51-$N$52)/$N$54*10)</f>
        <v>575.606198445825</v>
      </c>
      <c r="G67" s="18" t="n">
        <f aca="false">((($K$37/(1+$B67)^0.5)+($L$37/(1+$B67)^1.5)+($M$37/(1+$B67)^2.5)+($N$37/(1+$B67)^3.5)+($O$37/(1+$B67)^4.5)+($P$37/(1+$B67)^5.5)+($Q$37/(1+$B67)^6.5)+($R$37/(1+$B67)^7.5)+($S$37/(1+$B67)^8.5)+($T$37/(1+$B67)^9.5)+($T$37*(1+G$65)/($B67-G$65))/((1+$B67)^9.5)+$N$51-$N$52)/$N$54*10)</f>
        <v>602.832424474246</v>
      </c>
      <c r="H67" s="18" t="n">
        <f aca="false">((($K$37/(1+$B67)^0.5)+($L$37/(1+$B67)^1.5)+($M$37/(1+$B67)^2.5)+($N$37/(1+$B67)^3.5)+($O$37/(1+$B67)^4.5)+($P$37/(1+$B67)^5.5)+($Q$37/(1+$B67)^6.5)+($R$37/(1+$B67)^7.5)+($S$37/(1+$B67)^8.5)+($T$37/(1+$B67)^9.5)+($T$37*(1+H$65)/($B67-H$65))/((1+$B67)^9.5)+$N$51-$N$52)/$N$54*10)</f>
        <v>634.981474993485</v>
      </c>
      <c r="I67" s="18" t="n">
        <f aca="false">((($K$37/(1+$B67)^0.5)+($L$37/(1+$B67)^1.5)+($M$37/(1+$B67)^2.5)+($N$37/(1+$B67)^3.5)+($O$37/(1+$B67)^4.5)+($P$37/(1+$B67)^5.5)+($Q$37/(1+$B67)^6.5)+($R$37/(1+$B67)^7.5)+($S$37/(1+$B67)^8.5)+($T$37/(1+$B67)^9.5)+($T$37*(1+I$65)/($B67-I$65))/((1+$B67)^9.5)+$N$51-$N$52)/$N$54*10)</f>
        <v>673.52121088752</v>
      </c>
      <c r="J67" s="18" t="n">
        <f aca="false">((($K$37/(1+$B67)^0.5)+($L$37/(1+$B67)^1.5)+($M$37/(1+$B67)^2.5)+($N$37/(1+$B67)^3.5)+($O$37/(1+$B67)^4.5)+($P$37/(1+$B67)^5.5)+($Q$37/(1+$B67)^6.5)+($R$37/(1+$B67)^7.5)+($S$37/(1+$B67)^8.5)+($T$37/(1+$B67)^9.5)+($T$37*(1+J$65)/($B67-J$65))/((1+$B67)^9.5)+$N$51-$N$52)/$N$54*10)</f>
        <v>720.567467879197</v>
      </c>
    </row>
    <row r="68" customFormat="false" ht="15" hidden="false" customHeight="true" outlineLevel="0" collapsed="false">
      <c r="B68" s="9" t="n">
        <f aca="false">$N$44</f>
        <v>0.125306107457627</v>
      </c>
      <c r="F68" s="18" t="n">
        <f aca="false">((($K$37/(1+$B68)^0.5)+($L$37/(1+$B68)^1.5)+($M$37/(1+$B68)^2.5)+($N$37/(1+$B68)^3.5)+($O$37/(1+$B68)^4.5)+($P$37/(1+$B68)^5.5)+($Q$37/(1+$B68)^6.5)+($R$37/(1+$B68)^7.5)+($S$37/(1+$B68)^8.5)+($T$37/(1+$B68)^9.5)+($T$37*(1+F$65)/($B68-F$65))/((1+$B68)^9.5)+$N$51-$N$52)/$N$54*10)</f>
        <v>473.86712680068</v>
      </c>
      <c r="G68" s="18" t="n">
        <f aca="false">((($K$37/(1+$B68)^0.5)+($L$37/(1+$B68)^1.5)+($M$37/(1+$B68)^2.5)+($N$37/(1+$B68)^3.5)+($O$37/(1+$B68)^4.5)+($P$37/(1+$B68)^5.5)+($Q$37/(1+$B68)^6.5)+($R$37/(1+$B68)^7.5)+($S$37/(1+$B68)^8.5)+($T$37/(1+$B68)^9.5)+($T$37*(1+G$65)/($B68-G$65))/((1+$B68)^9.5)+$N$51-$N$52)/$N$54*10)</f>
        <v>489.68638865402</v>
      </c>
      <c r="H68" s="18" t="n">
        <f aca="false">((($K$37/(1+$B68)^0.5)+($L$37/(1+$B68)^1.5)+($M$37/(1+$B68)^2.5)+($N$37/(1+$B68)^3.5)+($O$37/(1+$B68)^4.5)+($P$37/(1+$B68)^5.5)+($Q$37/(1+$B68)^6.5)+($R$37/(1+$B68)^7.5)+($S$37/(1+$B68)^8.5)+($T$37/(1+$B68)^9.5)+($T$37*(1+H$65)/($B68-H$65))/((1+$B68)^9.5)+$N$51-$N$52)/$N$54*10)</f>
        <v>507.755705648426</v>
      </c>
      <c r="I68" s="18" t="n">
        <f aca="false">((($K$37/(1+$B68)^0.5)+($L$37/(1+$B68)^1.5)+($M$37/(1+$B68)^2.5)+($N$37/(1+$B68)^3.5)+($O$37/(1+$B68)^4.5)+($P$37/(1+$B68)^5.5)+($Q$37/(1+$B68)^6.5)+($R$37/(1+$B68)^7.5)+($S$37/(1+$B68)^8.5)+($T$37/(1+$B68)^9.5)+($T$37*(1+I$65)/($B68-I$65))/((1+$B68)^9.5)+$N$51-$N$52)/$N$54*10)</f>
        <v>528.591887442748</v>
      </c>
      <c r="J68" s="18" t="n">
        <f aca="false">((($K$37/(1+$B68)^0.5)+($L$37/(1+$B68)^1.5)+($M$37/(1+$B68)^2.5)+($N$37/(1+$B68)^3.5)+($O$37/(1+$B68)^4.5)+($P$37/(1+$B68)^5.5)+($Q$37/(1+$B68)^6.5)+($R$37/(1+$B68)^7.5)+($S$37/(1+$B68)^8.5)+($T$37/(1+$B68)^9.5)+($T$37*(1+J$65)/($B68-J$65))/((1+$B68)^9.5)+$N$51-$N$52)/$N$54*10)</f>
        <v>552.883139158299</v>
      </c>
    </row>
    <row r="69" customFormat="false" ht="15" hidden="false" customHeight="true" outlineLevel="0" collapsed="false">
      <c r="B69" s="9" t="n">
        <f aca="false">$N$44+0.015</f>
        <v>0.140306107457627</v>
      </c>
      <c r="F69" s="18" t="n">
        <f aca="false">((($K$37/(1+$B69)^0.5)+($L$37/(1+$B69)^1.5)+($M$37/(1+$B69)^2.5)+($N$37/(1+$B69)^3.5)+($O$37/(1+$B69)^4.5)+($P$37/(1+$B69)^5.5)+($Q$37/(1+$B69)^6.5)+($R$37/(1+$B69)^7.5)+($S$37/(1+$B69)^8.5)+($T$37/(1+$B69)^9.5)+($T$37*(1+F$65)/($B69-F$65))/((1+$B69)^9.5)+$N$51-$N$52)/$N$54*10)</f>
        <v>404.38761926977</v>
      </c>
      <c r="G69" s="18" t="n">
        <f aca="false">((($K$37/(1+$B69)^0.5)+($L$37/(1+$B69)^1.5)+($M$37/(1+$B69)^2.5)+($N$37/(1+$B69)^3.5)+($O$37/(1+$B69)^4.5)+($P$37/(1+$B69)^5.5)+($Q$37/(1+$B69)^6.5)+($R$37/(1+$B69)^7.5)+($S$37/(1+$B69)^8.5)+($T$37/(1+$B69)^9.5)+($T$37*(1+G$65)/($B69-G$65))/((1+$B69)^9.5)+$N$51-$N$52)/$N$54*10)</f>
        <v>414.319821467435</v>
      </c>
      <c r="H69" s="18" t="n">
        <f aca="false">((($K$37/(1+$B69)^0.5)+($L$37/(1+$B69)^1.5)+($M$37/(1+$B69)^2.5)+($N$37/(1+$B69)^3.5)+($O$37/(1+$B69)^4.5)+($P$37/(1+$B69)^5.5)+($Q$37/(1+$B69)^6.5)+($R$37/(1+$B69)^7.5)+($S$37/(1+$B69)^8.5)+($T$37/(1+$B69)^9.5)+($T$37*(1+H$65)/($B69-H$65))/((1+$B69)^9.5)+$N$51-$N$52)/$N$54*10)</f>
        <v>425.416325084267</v>
      </c>
      <c r="I69" s="18" t="n">
        <f aca="false">((($K$37/(1+$B69)^0.5)+($L$37/(1+$B69)^1.5)+($M$37/(1+$B69)^2.5)+($N$37/(1+$B69)^3.5)+($O$37/(1+$B69)^4.5)+($P$37/(1+$B69)^5.5)+($Q$37/(1+$B69)^6.5)+($R$37/(1+$B69)^7.5)+($S$37/(1+$B69)^8.5)+($T$37/(1+$B69)^9.5)+($T$37*(1+I$65)/($B69-I$65))/((1+$B69)^9.5)+$N$51-$N$52)/$N$54*10)</f>
        <v>437.894604504726</v>
      </c>
      <c r="J69" s="18" t="n">
        <f aca="false">((($K$37/(1+$B69)^0.5)+($L$37/(1+$B69)^1.5)+($M$37/(1+$B69)^2.5)+($N$37/(1+$B69)^3.5)+($O$37/(1+$B69)^4.5)+($P$37/(1+$B69)^5.5)+($Q$37/(1+$B69)^6.5)+($R$37/(1+$B69)^7.5)+($S$37/(1+$B69)^8.5)+($T$37/(1+$B69)^9.5)+($T$37*(1+J$65)/($B69-J$65))/((1+$B69)^9.5)+$N$51-$N$52)/$N$54*10)</f>
        <v>452.029891549364</v>
      </c>
    </row>
    <row r="70" customFormat="false" ht="15" hidden="false" customHeight="true" outlineLevel="0" collapsed="false">
      <c r="B70" s="9" t="n">
        <f aca="false">$N$44+0.03</f>
        <v>0.155306107457627</v>
      </c>
      <c r="F70" s="18" t="n">
        <f aca="false">((($K$37/(1+$B70)^0.5)+($L$37/(1+$B70)^1.5)+($M$37/(1+$B70)^2.5)+($N$37/(1+$B70)^3.5)+($O$37/(1+$B70)^4.5)+($P$37/(1+$B70)^5.5)+($Q$37/(1+$B70)^6.5)+($R$37/(1+$B70)^7.5)+($S$37/(1+$B70)^8.5)+($T$37/(1+$B70)^9.5)+($T$37*(1+F$65)/($B70-F$65))/((1+$B70)^9.5)+$N$51-$N$52)/$N$54*10)</f>
        <v>353.987118699585</v>
      </c>
      <c r="G70" s="18" t="n">
        <f aca="false">((($K$37/(1+$B70)^0.5)+($L$37/(1+$B70)^1.5)+($M$37/(1+$B70)^2.5)+($N$37/(1+$B70)^3.5)+($O$37/(1+$B70)^4.5)+($P$37/(1+$B70)^5.5)+($Q$37/(1+$B70)^6.5)+($R$37/(1+$B70)^7.5)+($S$37/(1+$B70)^8.5)+($T$37/(1+$B70)^9.5)+($T$37*(1+G$65)/($B70-G$65))/((1+$B70)^9.5)+$N$51-$N$52)/$N$54*10)</f>
        <v>360.57260011386</v>
      </c>
      <c r="H70" s="18" t="n">
        <f aca="false">((($K$37/(1+$B70)^0.5)+($L$37/(1+$B70)^1.5)+($M$37/(1+$B70)^2.5)+($N$37/(1+$B70)^3.5)+($O$37/(1+$B70)^4.5)+($P$37/(1+$B70)^5.5)+($Q$37/(1+$B70)^6.5)+($R$37/(1+$B70)^7.5)+($S$37/(1+$B70)^8.5)+($T$37/(1+$B70)^9.5)+($T$37*(1+H$65)/($B70-H$65))/((1+$B70)^9.5)+$N$51-$N$52)/$N$54*10)</f>
        <v>367.814619956471</v>
      </c>
      <c r="I70" s="18" t="n">
        <f aca="false">((($K$37/(1+$B70)^0.5)+($L$37/(1+$B70)^1.5)+($M$37/(1+$B70)^2.5)+($N$37/(1+$B70)^3.5)+($O$37/(1+$B70)^4.5)+($P$37/(1+$B70)^5.5)+($Q$37/(1+$B70)^6.5)+($R$37/(1+$B70)^7.5)+($S$37/(1+$B70)^8.5)+($T$37/(1+$B70)^9.5)+($T$37*(1+I$65)/($B70-I$65))/((1+$B70)^9.5)+$N$51-$N$52)/$N$54*10)</f>
        <v>375.816509238282</v>
      </c>
      <c r="J70" s="18" t="n">
        <f aca="false">((($K$37/(1+$B70)^0.5)+($L$37/(1+$B70)^1.5)+($M$37/(1+$B70)^2.5)+($N$37/(1+$B70)^3.5)+($O$37/(1+$B70)^4.5)+($P$37/(1+$B70)^5.5)+($Q$37/(1+$B70)^6.5)+($R$37/(1+$B70)^7.5)+($S$37/(1+$B70)^8.5)+($T$37/(1+$B70)^9.5)+($T$37*(1+J$65)/($B70-J$65))/((1+$B70)^9.5)+$N$51-$N$52)/$N$54*10)</f>
        <v>384.70448358201</v>
      </c>
    </row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>
      <c r="B73" s="6" t="s">
        <v>55</v>
      </c>
      <c r="N73" s="9" t="n">
        <f aca="false">((('Data Sheet'!C8*'Data Sheet'!C9/10-'Data Sheet'!C13-'Data Sheet'!C14+'Data Sheet'!C12)-SUM(K39:T39))*WACC!D39-T37)/(((('Data Sheet'!C8*'Data Sheet'!C9/10-'Data Sheet'!C13-'Data Sheet'!C14+'Data Sheet'!C12)-SUM(K39:T39))+T37))</f>
        <v>0.0807041691568447</v>
      </c>
    </row>
    <row r="74" customFormat="false" ht="15" hidden="false" customHeight="true" outlineLevel="0" collapsed="false">
      <c r="B74" s="19" t="s">
        <v>56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</row>
    <row r="75" customFormat="false" ht="15" hidden="false" customHeight="true" outlineLevel="0" collapsed="false"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</row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</sheetData>
  <mergeCells count="5">
    <mergeCell ref="B2:S2"/>
    <mergeCell ref="B6:T6"/>
    <mergeCell ref="B42:O42"/>
    <mergeCell ref="B63:O63"/>
    <mergeCell ref="B74:N75"/>
  </mergeCells>
  <conditionalFormatting sqref="F63:J67">
    <cfRule type="colorScale" priority="2">
      <colorScale>
        <cfvo type="min" val="0"/>
        <cfvo type="percentile" val="50"/>
        <cfvo type="max" val="0"/>
        <color rgb="FFF4CCCC"/>
        <color rgb="FFFFF2CC"/>
        <color rgb="FFE8F5EF"/>
      </colorScale>
    </cfRule>
  </conditionalFormatting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true"/>
  </sheetPr>
  <dimension ref="B2: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7" min="3" style="1" width="14"/>
  </cols>
  <sheetData>
    <row r="2" customFormat="false" ht="24" hidden="false" customHeight="true" outlineLevel="0" collapsed="false">
      <c r="B2" s="2" t="s">
        <v>57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3" t="s">
        <v>58</v>
      </c>
    </row>
    <row r="6" customFormat="false" ht="15" hidden="false" customHeight="true" outlineLevel="0" collapsed="false">
      <c r="B6" s="5" t="s">
        <v>59</v>
      </c>
      <c r="C6" s="5" t="s">
        <v>4</v>
      </c>
      <c r="D6" s="5" t="s">
        <v>5</v>
      </c>
      <c r="E6" s="5" t="s">
        <v>6</v>
      </c>
      <c r="F6" s="5" t="s">
        <v>7</v>
      </c>
      <c r="G6" s="5" t="s">
        <v>8</v>
      </c>
    </row>
    <row r="7" customFormat="false" ht="15" hidden="false" customHeight="true" outlineLevel="0" collapsed="false">
      <c r="B7" s="6" t="s">
        <v>60</v>
      </c>
      <c r="C7" s="20" t="n">
        <v>8917</v>
      </c>
      <c r="D7" s="20" t="n">
        <v>10660</v>
      </c>
      <c r="E7" s="20" t="n">
        <v>11333</v>
      </c>
      <c r="F7" s="20" t="n">
        <v>13140.31</v>
      </c>
      <c r="G7" s="20" t="n">
        <v>14600.83</v>
      </c>
    </row>
    <row r="8" customFormat="false" ht="15" hidden="false" customHeight="true" outlineLevel="0" collapsed="false">
      <c r="B8" s="6" t="s">
        <v>22</v>
      </c>
      <c r="C8" s="20" t="n">
        <v>2020</v>
      </c>
      <c r="D8" s="20" t="n">
        <v>2165</v>
      </c>
      <c r="E8" s="20" t="n">
        <v>3057</v>
      </c>
      <c r="F8" s="20" t="n">
        <v>3590</v>
      </c>
      <c r="G8" s="20" t="n">
        <v>4163.81</v>
      </c>
    </row>
    <row r="9" customFormat="false" ht="15" hidden="false" customHeight="true" outlineLevel="0" collapsed="false">
      <c r="B9" s="6" t="s">
        <v>61</v>
      </c>
      <c r="C9" s="20" t="n">
        <v>194</v>
      </c>
      <c r="D9" s="20" t="n">
        <v>222</v>
      </c>
      <c r="E9" s="20" t="n">
        <v>289</v>
      </c>
      <c r="F9" s="20" t="n">
        <v>358.48</v>
      </c>
      <c r="G9" s="20" t="n">
        <v>394.71</v>
      </c>
    </row>
    <row r="10" customFormat="false" ht="15" hidden="false" customHeight="true" outlineLevel="0" collapsed="false">
      <c r="B10" s="6" t="s">
        <v>26</v>
      </c>
      <c r="C10" s="20" t="n">
        <v>1826</v>
      </c>
      <c r="D10" s="20" t="n">
        <v>1943</v>
      </c>
      <c r="E10" s="20" t="n">
        <v>2768</v>
      </c>
      <c r="F10" s="20" t="n">
        <v>3231.52</v>
      </c>
      <c r="G10" s="20" t="n">
        <v>3769.1</v>
      </c>
    </row>
    <row r="11" customFormat="false" ht="15" hidden="false" customHeight="true" outlineLevel="0" collapsed="false">
      <c r="B11" s="6" t="s">
        <v>62</v>
      </c>
      <c r="C11" s="20" t="n">
        <v>1672</v>
      </c>
      <c r="D11" s="20" t="n">
        <v>2451</v>
      </c>
      <c r="E11" s="20" t="n">
        <v>2455</v>
      </c>
      <c r="F11" s="20" t="n">
        <v>2822.7</v>
      </c>
      <c r="G11" s="20" t="n">
        <v>3320.17</v>
      </c>
    </row>
    <row r="12" customFormat="false" ht="15" hidden="false" customHeight="true" outlineLevel="0" collapsed="false">
      <c r="B12" s="6" t="s">
        <v>63</v>
      </c>
      <c r="C12" s="20" t="n">
        <v>1257</v>
      </c>
      <c r="D12" s="20" t="n">
        <v>1799</v>
      </c>
      <c r="E12" s="20" t="n">
        <v>2096.17</v>
      </c>
      <c r="F12" s="20" t="n">
        <v>2076.24</v>
      </c>
      <c r="G12" s="20" t="n">
        <v>2448.92</v>
      </c>
    </row>
    <row r="13" customFormat="false" ht="15" hidden="false" customHeight="true" outlineLevel="0" collapsed="false">
      <c r="B13" s="6" t="s">
        <v>64</v>
      </c>
      <c r="C13" s="20" t="n">
        <v>374.7</v>
      </c>
      <c r="D13" s="20" t="n">
        <v>505.4</v>
      </c>
      <c r="E13" s="20" t="n">
        <v>558.7</v>
      </c>
      <c r="F13" s="20" t="n">
        <v>452.34</v>
      </c>
      <c r="G13" s="20" t="n">
        <v>592.77</v>
      </c>
    </row>
    <row r="14" customFormat="false" ht="15" hidden="false" customHeight="true" outlineLevel="0" collapsed="false">
      <c r="B14" s="6" t="s">
        <v>65</v>
      </c>
      <c r="C14" s="20" t="n">
        <v>1695.09</v>
      </c>
      <c r="D14" s="20" t="n">
        <v>1817.08</v>
      </c>
      <c r="E14" s="20" t="n">
        <v>1414.9</v>
      </c>
      <c r="F14" s="20" t="n">
        <v>1685.09</v>
      </c>
      <c r="G14" s="20" t="n">
        <v>1737.6</v>
      </c>
    </row>
    <row r="15" customFormat="false" ht="15" hidden="false" customHeight="true" outlineLevel="0" collapsed="false">
      <c r="B15" s="6" t="s">
        <v>66</v>
      </c>
      <c r="C15" s="20" t="n">
        <v>1430.54</v>
      </c>
      <c r="D15" s="20" t="n">
        <v>1535.27</v>
      </c>
      <c r="E15" s="20" t="n">
        <v>1674.69</v>
      </c>
      <c r="F15" s="20" t="n">
        <v>1811.15</v>
      </c>
      <c r="G15" s="20" t="n">
        <v>2181.1</v>
      </c>
    </row>
    <row r="16" customFormat="false" ht="15" hidden="false" customHeight="true" outlineLevel="0" collapsed="false">
      <c r="B16" s="6" t="s">
        <v>67</v>
      </c>
      <c r="C16" s="20" t="n">
        <v>361.29</v>
      </c>
      <c r="D16" s="20" t="n">
        <v>351.32</v>
      </c>
      <c r="E16" s="20" t="n">
        <v>343.37</v>
      </c>
      <c r="F16" s="20" t="n">
        <v>467.58</v>
      </c>
      <c r="G16" s="20" t="n">
        <v>394.45</v>
      </c>
    </row>
    <row r="17" customFormat="false" ht="15" hidden="false" customHeight="true" outlineLevel="0" collapsed="false">
      <c r="B17" s="6" t="s">
        <v>68</v>
      </c>
      <c r="C17" s="20" t="n">
        <v>1049.29</v>
      </c>
      <c r="D17" s="20" t="n">
        <v>1063.59</v>
      </c>
      <c r="E17" s="20" t="n">
        <v>1147.6</v>
      </c>
      <c r="F17" s="20" t="n">
        <v>1390.05</v>
      </c>
      <c r="G17" s="20" t="n">
        <v>1536.63</v>
      </c>
    </row>
    <row r="18" customFormat="false" ht="15" hidden="false" customHeight="true" outlineLevel="0" collapsed="false">
      <c r="B18" s="6" t="s">
        <v>69</v>
      </c>
      <c r="C18" s="20" t="n">
        <v>947.43</v>
      </c>
      <c r="D18" s="20" t="n">
        <v>1148.79</v>
      </c>
      <c r="E18" s="20" t="n">
        <v>1322.67</v>
      </c>
      <c r="F18" s="20" t="n">
        <v>1502.98</v>
      </c>
      <c r="G18" s="20" t="n">
        <v>1685.21</v>
      </c>
    </row>
    <row r="19" customFormat="false" ht="15" hidden="false" customHeight="true" outlineLevel="0" collapsed="false">
      <c r="B19" s="6" t="s">
        <v>30</v>
      </c>
      <c r="C19" s="20" t="n">
        <v>1490.2</v>
      </c>
      <c r="D19" s="20" t="n">
        <v>1491.29</v>
      </c>
      <c r="E19" s="20" t="n">
        <v>962.69</v>
      </c>
      <c r="F19" s="20" t="n">
        <v>1070.79</v>
      </c>
      <c r="G19" s="20" t="n">
        <v>1091.31</v>
      </c>
    </row>
    <row r="20" customFormat="false" ht="15" hidden="false" customHeight="true" outlineLevel="0" collapsed="false">
      <c r="B20" s="6" t="s">
        <v>70</v>
      </c>
      <c r="C20" s="20" t="n">
        <v>355.17</v>
      </c>
      <c r="D20" s="20" t="n">
        <v>326.65</v>
      </c>
      <c r="E20" s="20" t="n">
        <v>533.29</v>
      </c>
      <c r="F20" s="20" t="n">
        <v>336.21</v>
      </c>
      <c r="G20" s="20" t="n">
        <v>298.9</v>
      </c>
    </row>
    <row r="21" customFormat="false" ht="15" hidden="false" customHeight="true" outlineLevel="0" collapsed="false">
      <c r="B21" s="6" t="s">
        <v>71</v>
      </c>
      <c r="C21" s="20" t="n">
        <v>173.52</v>
      </c>
      <c r="D21" s="20" t="n">
        <v>531.2</v>
      </c>
      <c r="E21" s="20" t="n">
        <v>1870.16</v>
      </c>
      <c r="F21" s="20" t="n">
        <v>3161.96</v>
      </c>
      <c r="G21" s="20" t="n">
        <v>3919.83</v>
      </c>
    </row>
    <row r="22" customFormat="false" ht="15" hidden="false" customHeight="true" outlineLevel="0" collapsed="false">
      <c r="B22" s="6" t="s">
        <v>72</v>
      </c>
      <c r="C22" s="20" t="n">
        <v>285.62</v>
      </c>
      <c r="D22" s="20" t="n">
        <v>163.26</v>
      </c>
      <c r="E22" s="20" t="n">
        <v>131.15</v>
      </c>
      <c r="F22" s="20" t="n">
        <v>147.18</v>
      </c>
      <c r="G22" s="20" t="n">
        <v>105.91</v>
      </c>
    </row>
    <row r="23" customFormat="false" ht="15" hidden="false" customHeight="true" outlineLevel="0" collapsed="false">
      <c r="B23" s="6" t="s">
        <v>73</v>
      </c>
      <c r="C23" s="20" t="n">
        <v>6403.71</v>
      </c>
      <c r="D23" s="20" t="n">
        <v>7212.28</v>
      </c>
      <c r="E23" s="20" t="n">
        <v>8407.16</v>
      </c>
      <c r="F23" s="20" t="n">
        <v>9754.46</v>
      </c>
      <c r="G23" s="20" t="n">
        <v>10832.17</v>
      </c>
    </row>
    <row r="24" customFormat="false" ht="15" hidden="false" customHeight="true" outlineLevel="0" collapsed="false">
      <c r="B24" s="6" t="s">
        <v>20</v>
      </c>
      <c r="C24" s="8"/>
      <c r="D24" s="9" t="n">
        <f aca="false">D7/C7-1</f>
        <v>0.195469328249411</v>
      </c>
      <c r="E24" s="9" t="n">
        <f aca="false">E7/D7-1</f>
        <v>0.0631332082551595</v>
      </c>
      <c r="F24" s="9" t="n">
        <f aca="false">F7/E7-1</f>
        <v>0.159473219800582</v>
      </c>
      <c r="G24" s="9" t="n">
        <f aca="false">G7/F7-1</f>
        <v>0.111148062716937</v>
      </c>
    </row>
    <row r="25" customFormat="false" ht="15" hidden="false" customHeight="true" outlineLevel="0" collapsed="false">
      <c r="B25" s="6" t="s">
        <v>23</v>
      </c>
      <c r="C25" s="9" t="n">
        <f aca="false">C8/C7</f>
        <v>0.226533587529438</v>
      </c>
      <c r="D25" s="9" t="n">
        <f aca="false">D8/D7</f>
        <v>0.203095684803002</v>
      </c>
      <c r="E25" s="9" t="n">
        <f aca="false">E8/E7</f>
        <v>0.269743227741992</v>
      </c>
      <c r="F25" s="9" t="n">
        <f aca="false">F8/F7</f>
        <v>0.273205122253585</v>
      </c>
      <c r="G25" s="9" t="n">
        <f aca="false">G8/G7</f>
        <v>0.285176253678729</v>
      </c>
    </row>
    <row r="26" customFormat="false" ht="15" hidden="false" customHeight="true" outlineLevel="0" collapsed="false">
      <c r="B26" s="6" t="s">
        <v>74</v>
      </c>
      <c r="C26" s="9" t="n">
        <f aca="false">C10/C7</f>
        <v>0.204777391499383</v>
      </c>
      <c r="D26" s="9" t="n">
        <f aca="false">D10/D7</f>
        <v>0.182270168855535</v>
      </c>
      <c r="E26" s="9" t="n">
        <f aca="false">E10/E7</f>
        <v>0.244242477719933</v>
      </c>
      <c r="F26" s="9" t="n">
        <f aca="false">F10/F7</f>
        <v>0.245924182915015</v>
      </c>
      <c r="G26" s="9" t="n">
        <f aca="false">G10/G7</f>
        <v>0.258142859001851</v>
      </c>
    </row>
    <row r="27" customFormat="false" ht="15" hidden="false" customHeight="true" outlineLevel="0" collapsed="false">
      <c r="B27" s="6" t="s">
        <v>75</v>
      </c>
      <c r="C27" s="9" t="n">
        <f aca="false">C19/C7</f>
        <v>0.167118986206123</v>
      </c>
      <c r="D27" s="9" t="n">
        <f aca="false">D19/D7</f>
        <v>0.139895872420263</v>
      </c>
      <c r="E27" s="9" t="n">
        <f aca="false">E19/E7</f>
        <v>0.08494573369805</v>
      </c>
      <c r="F27" s="9" t="n">
        <f aca="false">F19/F7</f>
        <v>0.0814889450857704</v>
      </c>
      <c r="G27" s="9" t="n">
        <f aca="false">G19/G7</f>
        <v>0.0747430111849806</v>
      </c>
    </row>
    <row r="29" customFormat="false" ht="15" hidden="false" customHeight="true" outlineLevel="0" collapsed="false">
      <c r="B29" s="12" t="s">
        <v>76</v>
      </c>
    </row>
    <row r="30" customFormat="false" ht="15" hidden="false" customHeight="true" outlineLevel="0" collapsed="false">
      <c r="B30" s="21" t="s">
        <v>77</v>
      </c>
      <c r="C30" s="21"/>
      <c r="D30" s="21"/>
      <c r="E30" s="21"/>
      <c r="F30" s="21"/>
      <c r="G30" s="21"/>
    </row>
    <row r="31" customFormat="false" ht="15" hidden="false" customHeight="true" outlineLevel="0" collapsed="false">
      <c r="B31" s="21"/>
      <c r="C31" s="21"/>
      <c r="D31" s="21"/>
      <c r="E31" s="21"/>
      <c r="F31" s="21"/>
      <c r="G31" s="21"/>
    </row>
    <row r="32" customFormat="false" ht="15" hidden="false" customHeight="true" outlineLevel="0" collapsed="false">
      <c r="B32" s="21"/>
      <c r="C32" s="21"/>
      <c r="D32" s="21"/>
      <c r="E32" s="21"/>
      <c r="F32" s="21"/>
      <c r="G32" s="21"/>
    </row>
    <row r="33" customFormat="false" ht="15" hidden="false" customHeight="true" outlineLevel="0" collapsed="false">
      <c r="B33" s="21"/>
      <c r="C33" s="21"/>
      <c r="D33" s="21"/>
      <c r="E33" s="21"/>
      <c r="F33" s="21"/>
      <c r="G33" s="21"/>
    </row>
  </sheetData>
  <mergeCells count="2">
    <mergeCell ref="B2:G2"/>
    <mergeCell ref="B30:G33"/>
  </mergeCells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true"/>
  </sheetPr>
  <dimension ref="B2:Q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" min="3" style="1" width="16"/>
    <col collapsed="false" customWidth="true" hidden="false" outlineLevel="0" max="10" min="4" style="1" width="15"/>
    <col collapsed="false" customWidth="true" hidden="false" outlineLevel="0" max="17" min="11" style="1" width="9"/>
  </cols>
  <sheetData>
    <row r="2" customFormat="false" ht="24" hidden="false" customHeight="true" outlineLevel="0" collapsed="false">
      <c r="B2" s="2" t="s">
        <v>78</v>
      </c>
      <c r="C2" s="2"/>
      <c r="D2" s="2"/>
      <c r="E2" s="2"/>
      <c r="F2" s="2"/>
      <c r="G2" s="2"/>
      <c r="H2" s="2"/>
      <c r="I2" s="2"/>
      <c r="J2" s="2"/>
    </row>
    <row r="4" customFormat="false" ht="15" hidden="false" customHeight="true" outlineLevel="0" collapsed="false">
      <c r="B4" s="3" t="s">
        <v>79</v>
      </c>
    </row>
    <row r="6" customFormat="false" ht="15" hidden="false" customHeight="true" outlineLevel="0" collapsed="false">
      <c r="B6" s="4" t="s">
        <v>80</v>
      </c>
      <c r="C6" s="4"/>
      <c r="D6" s="4"/>
      <c r="E6" s="4"/>
    </row>
    <row r="7" customFormat="false" ht="15" hidden="false" customHeight="true" outlineLevel="0" collapsed="false">
      <c r="B7" s="6" t="s">
        <v>81</v>
      </c>
      <c r="C7" s="7" t="s">
        <v>82</v>
      </c>
    </row>
    <row r="8" customFormat="false" ht="15" hidden="false" customHeight="true" outlineLevel="0" collapsed="false">
      <c r="B8" s="6" t="s">
        <v>48</v>
      </c>
      <c r="C8" s="22" t="n">
        <v>1517.2</v>
      </c>
    </row>
    <row r="9" customFormat="false" ht="15" hidden="false" customHeight="true" outlineLevel="0" collapsed="false">
      <c r="B9" s="6" t="s">
        <v>46</v>
      </c>
      <c r="C9" s="20" t="n">
        <v>1018.049209</v>
      </c>
    </row>
    <row r="10" customFormat="false" ht="15" hidden="false" customHeight="true" outlineLevel="0" collapsed="false">
      <c r="B10" s="6" t="s">
        <v>83</v>
      </c>
      <c r="C10" s="7" t="n">
        <f aca="false">C8*C9/10</f>
        <v>154458.42598948</v>
      </c>
    </row>
    <row r="11" customFormat="false" ht="15" hidden="false" customHeight="true" outlineLevel="0" collapsed="false">
      <c r="B11" s="6" t="s">
        <v>84</v>
      </c>
      <c r="C11" s="20" t="n">
        <v>1</v>
      </c>
    </row>
    <row r="12" customFormat="false" ht="15" hidden="false" customHeight="true" outlineLevel="0" collapsed="false">
      <c r="B12" s="6" t="s">
        <v>85</v>
      </c>
      <c r="C12" s="20" t="n">
        <v>105.91</v>
      </c>
    </row>
    <row r="13" customFormat="false" ht="15" hidden="false" customHeight="true" outlineLevel="0" collapsed="false">
      <c r="B13" s="6" t="s">
        <v>86</v>
      </c>
      <c r="C13" s="20" t="n">
        <v>298.9</v>
      </c>
    </row>
    <row r="14" customFormat="false" ht="15" hidden="false" customHeight="true" outlineLevel="0" collapsed="false">
      <c r="B14" s="6" t="s">
        <v>87</v>
      </c>
      <c r="C14" s="20" t="n">
        <v>3919.83</v>
      </c>
    </row>
    <row r="15" customFormat="false" ht="15" hidden="false" customHeight="true" outlineLevel="0" collapsed="false">
      <c r="B15" s="6" t="s">
        <v>88</v>
      </c>
      <c r="C15" s="7" t="n">
        <f aca="false">C12-C13-C14</f>
        <v>-4112.82</v>
      </c>
    </row>
    <row r="18" customFormat="false" ht="15" hidden="false" customHeight="true" outlineLevel="0" collapsed="false">
      <c r="B18" s="4" t="s">
        <v>89</v>
      </c>
      <c r="C18" s="4"/>
      <c r="D18" s="4"/>
      <c r="E18" s="4"/>
      <c r="F18" s="4"/>
      <c r="G18" s="4"/>
      <c r="H18" s="4"/>
      <c r="I18" s="4"/>
      <c r="J18" s="4"/>
    </row>
    <row r="19" customFormat="false" ht="15" hidden="false" customHeight="true" outlineLevel="0" collapsed="false">
      <c r="B19" s="5" t="s">
        <v>90</v>
      </c>
      <c r="C19" s="5" t="s">
        <v>4</v>
      </c>
      <c r="D19" s="5" t="s">
        <v>5</v>
      </c>
      <c r="E19" s="5" t="s">
        <v>6</v>
      </c>
      <c r="F19" s="5" t="s">
        <v>7</v>
      </c>
      <c r="G19" s="5" t="s">
        <v>8</v>
      </c>
      <c r="H19" s="5" t="s">
        <v>91</v>
      </c>
      <c r="I19" s="5" t="s">
        <v>92</v>
      </c>
      <c r="J19" s="5" t="s">
        <v>93</v>
      </c>
      <c r="K19" s="6" t="s">
        <v>94</v>
      </c>
      <c r="L19" s="6" t="s">
        <v>95</v>
      </c>
    </row>
    <row r="20" customFormat="false" ht="15" hidden="false" customHeight="true" outlineLevel="0" collapsed="false">
      <c r="B20" s="6" t="s">
        <v>19</v>
      </c>
      <c r="C20" s="7" t="n">
        <f aca="false">'RAW FS'!C7</f>
        <v>8917</v>
      </c>
      <c r="D20" s="7" t="n">
        <f aca="false">'RAW FS'!D7</f>
        <v>10660</v>
      </c>
      <c r="E20" s="7" t="n">
        <f aca="false">'RAW FS'!E7</f>
        <v>11333</v>
      </c>
      <c r="F20" s="7" t="n">
        <f aca="false">'RAW FS'!F7</f>
        <v>13140.31</v>
      </c>
      <c r="G20" s="7" t="n">
        <f aca="false">'RAW FS'!G7</f>
        <v>14600.83</v>
      </c>
    </row>
    <row r="21" customFormat="false" ht="15" hidden="false" customHeight="true" outlineLevel="0" collapsed="false">
      <c r="B21" s="6" t="s">
        <v>20</v>
      </c>
      <c r="C21" s="8"/>
      <c r="D21" s="9" t="n">
        <f aca="false">D20/C20-1</f>
        <v>0.195469328249411</v>
      </c>
      <c r="E21" s="9" t="n">
        <f aca="false">E20/D20-1</f>
        <v>0.0631332082551595</v>
      </c>
      <c r="F21" s="9" t="n">
        <f aca="false">F20/E20-1</f>
        <v>0.159473219800582</v>
      </c>
      <c r="G21" s="9" t="n">
        <f aca="false">G20/F20-1</f>
        <v>0.111148062716937</v>
      </c>
    </row>
    <row r="22" customFormat="false" ht="15" hidden="false" customHeight="true" outlineLevel="0" collapsed="false">
      <c r="B22" s="6" t="s">
        <v>22</v>
      </c>
      <c r="C22" s="7" t="n">
        <f aca="false">'RAW FS'!C8</f>
        <v>2020</v>
      </c>
      <c r="D22" s="7" t="n">
        <f aca="false">'RAW FS'!D8</f>
        <v>2165</v>
      </c>
      <c r="E22" s="7" t="n">
        <f aca="false">'RAW FS'!E8</f>
        <v>3057</v>
      </c>
      <c r="F22" s="7" t="n">
        <f aca="false">'RAW FS'!F8</f>
        <v>3590</v>
      </c>
      <c r="G22" s="7" t="n">
        <f aca="false">'RAW FS'!G8</f>
        <v>4163.81</v>
      </c>
    </row>
    <row r="23" customFormat="false" ht="15" hidden="false" customHeight="true" outlineLevel="0" collapsed="false">
      <c r="B23" s="6" t="s">
        <v>23</v>
      </c>
      <c r="C23" s="9" t="n">
        <f aca="false">C22/C20</f>
        <v>0.226533587529438</v>
      </c>
      <c r="D23" s="9" t="n">
        <f aca="false">D22/D20</f>
        <v>0.203095684803002</v>
      </c>
      <c r="E23" s="9" t="n">
        <f aca="false">E22/E20</f>
        <v>0.269743227741992</v>
      </c>
      <c r="F23" s="9" t="n">
        <f aca="false">F22/F20</f>
        <v>0.273205122253585</v>
      </c>
      <c r="G23" s="9" t="n">
        <f aca="false">G22/G20</f>
        <v>0.285176253678729</v>
      </c>
    </row>
    <row r="24" customFormat="false" ht="15" hidden="false" customHeight="true" outlineLevel="0" collapsed="false">
      <c r="B24" s="6" t="s">
        <v>25</v>
      </c>
      <c r="C24" s="7" t="n">
        <f aca="false">'RAW FS'!C9</f>
        <v>194</v>
      </c>
      <c r="D24" s="7" t="n">
        <f aca="false">'RAW FS'!D9</f>
        <v>222</v>
      </c>
      <c r="E24" s="7" t="n">
        <f aca="false">'RAW FS'!E9</f>
        <v>289</v>
      </c>
      <c r="F24" s="7" t="n">
        <f aca="false">'RAW FS'!F9</f>
        <v>358.48</v>
      </c>
      <c r="G24" s="7" t="n">
        <f aca="false">'RAW FS'!G9</f>
        <v>394.71</v>
      </c>
    </row>
    <row r="25" customFormat="false" ht="15" hidden="false" customHeight="true" outlineLevel="0" collapsed="false">
      <c r="B25" s="6" t="s">
        <v>29</v>
      </c>
      <c r="C25" s="7" t="n">
        <f aca="false">'RAW FS'!C13</f>
        <v>374.7</v>
      </c>
      <c r="D25" s="7" t="n">
        <f aca="false">'RAW FS'!D13</f>
        <v>505.4</v>
      </c>
      <c r="E25" s="7" t="n">
        <f aca="false">'RAW FS'!E13</f>
        <v>558.7</v>
      </c>
      <c r="F25" s="7" t="n">
        <f aca="false">'RAW FS'!F13</f>
        <v>452.34</v>
      </c>
      <c r="G25" s="7" t="n">
        <f aca="false">'RAW FS'!G13</f>
        <v>592.77</v>
      </c>
    </row>
    <row r="26" customFormat="false" ht="15" hidden="false" customHeight="true" outlineLevel="0" collapsed="false">
      <c r="B26" s="6" t="s">
        <v>96</v>
      </c>
      <c r="C26" s="7" t="n">
        <f aca="false">'RAW FS'!C19</f>
        <v>1490.2</v>
      </c>
      <c r="D26" s="7" t="n">
        <f aca="false">'RAW FS'!D19</f>
        <v>1491.29</v>
      </c>
      <c r="E26" s="7" t="n">
        <f aca="false">'RAW FS'!E19</f>
        <v>962.69</v>
      </c>
      <c r="F26" s="7" t="n">
        <f aca="false">'RAW FS'!F19</f>
        <v>1070.79</v>
      </c>
      <c r="G26" s="7" t="n">
        <f aca="false">'RAW FS'!G19</f>
        <v>1091.31</v>
      </c>
    </row>
    <row r="27" customFormat="false" ht="15" hidden="false" customHeight="true" outlineLevel="0" collapsed="false">
      <c r="B27" s="6" t="s">
        <v>75</v>
      </c>
      <c r="C27" s="9" t="n">
        <f aca="false">C26/C20</f>
        <v>0.167118986206123</v>
      </c>
      <c r="D27" s="9" t="n">
        <f aca="false">D26/D20</f>
        <v>0.139895872420263</v>
      </c>
      <c r="E27" s="9" t="n">
        <f aca="false">E26/E20</f>
        <v>0.08494573369805</v>
      </c>
      <c r="F27" s="9" t="n">
        <f aca="false">F26/F20</f>
        <v>0.0814889450857704</v>
      </c>
      <c r="G27" s="9" t="n">
        <f aca="false">G26/G20</f>
        <v>0.0747430111849806</v>
      </c>
    </row>
    <row r="29" customFormat="false" ht="14.25" hidden="false" customHeight="true" outlineLevel="0" collapsed="false">
      <c r="H29" s="23" t="s">
        <v>91</v>
      </c>
      <c r="I29" s="23" t="s">
        <v>92</v>
      </c>
      <c r="J29" s="23" t="s">
        <v>93</v>
      </c>
      <c r="K29" s="23" t="s">
        <v>94</v>
      </c>
      <c r="L29" s="23" t="s">
        <v>95</v>
      </c>
      <c r="M29" s="23" t="s">
        <v>97</v>
      </c>
      <c r="N29" s="23" t="s">
        <v>98</v>
      </c>
      <c r="O29" s="23" t="s">
        <v>99</v>
      </c>
      <c r="P29" s="23" t="s">
        <v>100</v>
      </c>
      <c r="Q29" s="23" t="s">
        <v>101</v>
      </c>
    </row>
    <row r="30" customFormat="false" ht="15" hidden="false" customHeight="true" outlineLevel="0" collapsed="false">
      <c r="B30" s="12" t="s">
        <v>20</v>
      </c>
      <c r="H30" s="24" t="n">
        <v>0.11</v>
      </c>
      <c r="I30" s="24" t="n">
        <v>0.11</v>
      </c>
      <c r="J30" s="24" t="n">
        <v>0.105</v>
      </c>
      <c r="K30" s="24" t="n">
        <v>0.1</v>
      </c>
      <c r="L30" s="24" t="n">
        <v>0.095</v>
      </c>
      <c r="M30" s="24" t="n">
        <v>0.09</v>
      </c>
      <c r="N30" s="24" t="n">
        <v>0.08</v>
      </c>
      <c r="O30" s="24" t="n">
        <v>0.07</v>
      </c>
      <c r="P30" s="24" t="n">
        <v>0.065</v>
      </c>
      <c r="Q30" s="24" t="n">
        <v>0.06</v>
      </c>
    </row>
    <row r="31" customFormat="false" ht="15" hidden="false" customHeight="true" outlineLevel="0" collapsed="false">
      <c r="B31" s="12" t="s">
        <v>23</v>
      </c>
      <c r="H31" s="24" t="n">
        <v>0.275</v>
      </c>
      <c r="I31" s="24" t="n">
        <v>0.274</v>
      </c>
      <c r="J31" s="24" t="n">
        <v>0.272</v>
      </c>
      <c r="K31" s="24" t="n">
        <v>0.27</v>
      </c>
      <c r="L31" s="24" t="n">
        <v>0.268</v>
      </c>
      <c r="M31" s="24" t="n">
        <v>0.266</v>
      </c>
      <c r="N31" s="24" t="n">
        <v>0.264</v>
      </c>
      <c r="O31" s="24" t="n">
        <v>0.262</v>
      </c>
      <c r="P31" s="24" t="n">
        <v>0.261</v>
      </c>
      <c r="Q31" s="24" t="n">
        <v>0.26</v>
      </c>
    </row>
    <row r="32" customFormat="false" ht="15" hidden="false" customHeight="true" outlineLevel="0" collapsed="false">
      <c r="B32" s="12" t="s">
        <v>102</v>
      </c>
      <c r="H32" s="24" t="n">
        <v>0.027</v>
      </c>
      <c r="I32" s="24" t="n">
        <v>0.027</v>
      </c>
      <c r="J32" s="24" t="n">
        <v>0.027</v>
      </c>
      <c r="K32" s="24" t="n">
        <v>0.027</v>
      </c>
      <c r="L32" s="24" t="n">
        <v>0.027</v>
      </c>
      <c r="M32" s="24" t="n">
        <v>0.027</v>
      </c>
      <c r="N32" s="24" t="n">
        <v>0.027</v>
      </c>
      <c r="O32" s="24" t="n">
        <v>0.027</v>
      </c>
      <c r="P32" s="24" t="n">
        <v>0.027</v>
      </c>
      <c r="Q32" s="24" t="n">
        <v>0.027</v>
      </c>
    </row>
    <row r="33" customFormat="false" ht="15" hidden="false" customHeight="true" outlineLevel="0" collapsed="false">
      <c r="B33" s="12" t="s">
        <v>103</v>
      </c>
      <c r="H33" s="24" t="n">
        <v>0.04</v>
      </c>
      <c r="I33" s="24" t="n">
        <v>0.04</v>
      </c>
      <c r="J33" s="24" t="n">
        <v>0.04</v>
      </c>
      <c r="K33" s="24" t="n">
        <v>0.04</v>
      </c>
      <c r="L33" s="24" t="n">
        <v>0.04</v>
      </c>
      <c r="M33" s="24" t="n">
        <v>0.04</v>
      </c>
      <c r="N33" s="24" t="n">
        <v>0.04</v>
      </c>
      <c r="O33" s="24" t="n">
        <v>0.04</v>
      </c>
      <c r="P33" s="24" t="n">
        <v>0.04</v>
      </c>
      <c r="Q33" s="24" t="n">
        <v>0.04</v>
      </c>
    </row>
    <row r="34" customFormat="false" ht="15" hidden="false" customHeight="true" outlineLevel="0" collapsed="false">
      <c r="B34" s="12" t="s">
        <v>75</v>
      </c>
      <c r="H34" s="24" t="n">
        <v>0.08</v>
      </c>
      <c r="I34" s="24" t="n">
        <v>0.08</v>
      </c>
      <c r="J34" s="24" t="n">
        <v>0.08</v>
      </c>
      <c r="K34" s="24" t="n">
        <v>0.08</v>
      </c>
      <c r="L34" s="24" t="n">
        <v>0.08</v>
      </c>
      <c r="M34" s="24" t="n">
        <v>0.08</v>
      </c>
      <c r="N34" s="24" t="n">
        <v>0.08</v>
      </c>
      <c r="O34" s="24" t="n">
        <v>0.08</v>
      </c>
      <c r="P34" s="24" t="n">
        <v>0.08</v>
      </c>
      <c r="Q34" s="24" t="n">
        <v>0.08</v>
      </c>
    </row>
    <row r="35" customFormat="false" ht="15" hidden="false" customHeight="true" outlineLevel="0" collapsed="false">
      <c r="B35" s="12" t="s">
        <v>27</v>
      </c>
      <c r="H35" s="24" t="n">
        <v>0.255</v>
      </c>
      <c r="I35" s="24" t="n">
        <v>0.255</v>
      </c>
      <c r="J35" s="24" t="n">
        <v>0.255</v>
      </c>
      <c r="K35" s="24" t="n">
        <v>0.255</v>
      </c>
      <c r="L35" s="24" t="n">
        <v>0.255</v>
      </c>
      <c r="M35" s="24" t="n">
        <v>0.255</v>
      </c>
      <c r="N35" s="24" t="n">
        <v>0.255</v>
      </c>
      <c r="O35" s="24" t="n">
        <v>0.255</v>
      </c>
      <c r="P35" s="24" t="n">
        <v>0.255</v>
      </c>
      <c r="Q35" s="24" t="n">
        <v>0.255</v>
      </c>
    </row>
    <row r="38" customFormat="false" ht="15" hidden="false" customHeight="true" outlineLevel="0" collapsed="false">
      <c r="B38" s="6" t="s">
        <v>36</v>
      </c>
      <c r="C38" s="9" t="n">
        <f aca="false">WACC!D39</f>
        <v>0.125306107457627</v>
      </c>
    </row>
    <row r="39" customFormat="false" ht="15" hidden="false" customHeight="true" outlineLevel="0" collapsed="false">
      <c r="B39" s="6" t="s">
        <v>37</v>
      </c>
      <c r="C39" s="24" t="n">
        <v>0.055</v>
      </c>
    </row>
    <row r="40" customFormat="false" ht="15" hidden="false" customHeight="true" outlineLevel="0" collapsed="false">
      <c r="B40" s="6" t="s">
        <v>104</v>
      </c>
      <c r="C40" s="25" t="n">
        <v>46290</v>
      </c>
    </row>
  </sheetData>
  <mergeCells count="3">
    <mergeCell ref="B2:J2"/>
    <mergeCell ref="B6:E6"/>
    <mergeCell ref="B18:J18"/>
  </mergeCells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B2:N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"/>
    <col collapsed="false" customWidth="true" hidden="false" outlineLevel="0" max="3" min="3" style="1" width="15"/>
    <col collapsed="false" customWidth="true" hidden="false" outlineLevel="0" max="4" min="4" style="1" width="16"/>
    <col collapsed="false" customWidth="true" hidden="false" outlineLevel="0" max="6" min="5" style="1" width="12"/>
    <col collapsed="false" customWidth="true" hidden="false" outlineLevel="0" max="7" min="7" style="1" width="14"/>
    <col collapsed="false" customWidth="true" hidden="false" outlineLevel="0" max="9" min="8" style="1" width="16"/>
    <col collapsed="false" customWidth="true" hidden="false" outlineLevel="0" max="10" min="10" style="1" width="34"/>
    <col collapsed="false" customWidth="true" hidden="false" outlineLevel="0" max="14" min="11" style="1" width="4"/>
  </cols>
  <sheetData>
    <row r="2" customFormat="false" ht="24" hidden="false" customHeight="true" outlineLevel="0" collapsed="false">
      <c r="B2" s="2" t="s">
        <v>105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true" outlineLevel="0" collapsed="false">
      <c r="B4" s="3" t="s">
        <v>106</v>
      </c>
    </row>
    <row r="6" customFormat="false" ht="15" hidden="false" customHeight="true" outlineLevel="0" collapsed="false">
      <c r="B6" s="4" t="s">
        <v>107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8" customFormat="false" ht="21.75" hidden="false" customHeight="true" outlineLevel="0" collapsed="false">
      <c r="B8" s="5" t="s">
        <v>108</v>
      </c>
      <c r="C8" s="5" t="s">
        <v>109</v>
      </c>
      <c r="D8" s="5" t="s">
        <v>110</v>
      </c>
      <c r="E8" s="5" t="s">
        <v>111</v>
      </c>
      <c r="F8" s="5" t="s">
        <v>27</v>
      </c>
      <c r="G8" s="5" t="s">
        <v>112</v>
      </c>
      <c r="H8" s="5" t="s">
        <v>113</v>
      </c>
      <c r="I8" s="5" t="s">
        <v>114</v>
      </c>
      <c r="J8" s="5" t="s">
        <v>115</v>
      </c>
    </row>
    <row r="9" customFormat="false" ht="15" hidden="false" customHeight="true" outlineLevel="0" collapsed="false">
      <c r="B9" s="6" t="s">
        <v>116</v>
      </c>
      <c r="C9" s="7" t="s">
        <v>117</v>
      </c>
      <c r="D9" s="20" t="n">
        <v>2290.29</v>
      </c>
      <c r="E9" s="20" t="n">
        <f aca="false">Asian!C47*95.77</f>
        <v>229148.879</v>
      </c>
      <c r="F9" s="26" t="n">
        <v>0.3</v>
      </c>
      <c r="G9" s="27" t="n">
        <f aca="false">D9/E9</f>
        <v>0.00999476851030111</v>
      </c>
      <c r="H9" s="28" t="n">
        <f aca="false">Asian!C15</f>
        <v>1.13244464065721</v>
      </c>
      <c r="I9" s="6" t="n">
        <f aca="false">H9/(1+(1-F9)*G9)</f>
        <v>1.12457672185232</v>
      </c>
      <c r="J9" s="6" t="s">
        <v>118</v>
      </c>
    </row>
    <row r="10" customFormat="false" ht="15" hidden="false" customHeight="true" outlineLevel="0" collapsed="false">
      <c r="B10" s="6" t="s">
        <v>119</v>
      </c>
      <c r="C10" s="7" t="s">
        <v>117</v>
      </c>
      <c r="D10" s="20" t="n">
        <v>670.27</v>
      </c>
      <c r="E10" s="20" t="n">
        <f aca="false">Berger!C47*116.57</f>
        <v>52386.558</v>
      </c>
      <c r="F10" s="26" t="n">
        <v>0.3</v>
      </c>
      <c r="G10" s="27" t="n">
        <f aca="false">D10/E10</f>
        <v>0.0127946943946957</v>
      </c>
      <c r="H10" s="28" t="n">
        <f aca="false">Berger!C15</f>
        <v>1.13934644425936</v>
      </c>
      <c r="I10" s="6" t="n">
        <f aca="false">H10/(1+(1-F10)*G10)</f>
        <v>1.12923271303472</v>
      </c>
      <c r="J10" s="6" t="s">
        <v>120</v>
      </c>
    </row>
    <row r="11" customFormat="false" ht="15" hidden="false" customHeight="true" outlineLevel="0" collapsed="false">
      <c r="B11" s="6" t="s">
        <v>121</v>
      </c>
      <c r="C11" s="7" t="s">
        <v>117</v>
      </c>
      <c r="D11" s="20" t="n">
        <v>296.39</v>
      </c>
      <c r="E11" s="20" t="n">
        <f aca="false">Kansai!C47*80.71</f>
        <v>14480.1811</v>
      </c>
      <c r="F11" s="26" t="n">
        <v>0.3</v>
      </c>
      <c r="G11" s="27" t="n">
        <f aca="false">D11/E11</f>
        <v>0.0204686666522424</v>
      </c>
      <c r="H11" s="28" t="n">
        <f aca="false">Kansai!C15</f>
        <v>1.15676682474728</v>
      </c>
      <c r="I11" s="6" t="n">
        <f aca="false">H11/(1+(1-F11)*G11)</f>
        <v>1.14042671476124</v>
      </c>
      <c r="J11" s="6" t="s">
        <v>122</v>
      </c>
    </row>
    <row r="12" customFormat="false" ht="15" hidden="false" customHeight="true" outlineLevel="0" collapsed="false">
      <c r="B12" s="6" t="s">
        <v>123</v>
      </c>
      <c r="C12" s="7" t="s">
        <v>117</v>
      </c>
      <c r="D12" s="20" t="n">
        <v>1050</v>
      </c>
      <c r="E12" s="20" t="n">
        <f aca="false">Astral!C47*26.9</f>
        <v>37444.8</v>
      </c>
      <c r="F12" s="26" t="n">
        <v>0.25</v>
      </c>
      <c r="G12" s="27" t="n">
        <f aca="false">D12/E12</f>
        <v>0.0280412767593898</v>
      </c>
      <c r="H12" s="28" t="n">
        <f aca="false">Astral!C15</f>
        <v>0.582800138450781</v>
      </c>
      <c r="I12" s="6" t="n">
        <f aca="false">H12/(1+(1-F12)*G12)</f>
        <v>0.570795757102288</v>
      </c>
      <c r="J12" s="6" t="s">
        <v>124</v>
      </c>
    </row>
    <row r="13" customFormat="false" ht="15" hidden="false" customHeight="true" outlineLevel="0" collapsed="false">
      <c r="B13" s="6" t="s">
        <v>125</v>
      </c>
      <c r="C13" s="7" t="s">
        <v>117</v>
      </c>
      <c r="D13" s="20" t="n">
        <v>130</v>
      </c>
      <c r="E13" s="20" t="n">
        <f aca="false">Supreme!C47*12.7</f>
        <v>43611.8</v>
      </c>
      <c r="F13" s="26" t="n">
        <v>0.25</v>
      </c>
      <c r="G13" s="27" t="n">
        <f aca="false">D13/E13</f>
        <v>0.00298084463379177</v>
      </c>
      <c r="H13" s="28" t="n">
        <f aca="false">Supreme!C15</f>
        <v>0.56361033461483</v>
      </c>
      <c r="I13" s="6" t="n">
        <f aca="false">H13/(1+(1-F13)*G13)</f>
        <v>0.562353119156679</v>
      </c>
      <c r="J13" s="6" t="s">
        <v>126</v>
      </c>
    </row>
    <row r="15" customFormat="false" ht="15" hidden="false" customHeight="true" outlineLevel="0" collapsed="false">
      <c r="B15" s="6" t="s">
        <v>127</v>
      </c>
      <c r="I15" s="27" t="n">
        <f aca="false">MEDIAN(I9:I13)</f>
        <v>1.12457672185232</v>
      </c>
    </row>
    <row r="16" customFormat="false" ht="15" hidden="false" customHeight="true" outlineLevel="0" collapsed="false">
      <c r="B16" s="6" t="s">
        <v>128</v>
      </c>
      <c r="I16" s="27" t="n">
        <f aca="false">AVERAGE(I9:I13)</f>
        <v>0.905477005181451</v>
      </c>
    </row>
    <row r="17" customFormat="false" ht="14.25" hidden="false" customHeight="true" outlineLevel="0" collapsed="false">
      <c r="B17" s="6" t="s">
        <v>129</v>
      </c>
      <c r="I17" s="27" t="n">
        <f aca="false">MEDIAN(I9:I11)</f>
        <v>1.12923271303472</v>
      </c>
    </row>
    <row r="18" customFormat="false" ht="14.25" hidden="false" customHeight="true" outlineLevel="0" collapsed="false">
      <c r="B18" s="6" t="s">
        <v>130</v>
      </c>
      <c r="I18" s="29" t="n">
        <v>2</v>
      </c>
    </row>
    <row r="19" customFormat="false" ht="15" hidden="false" customHeight="true" outlineLevel="0" collapsed="false">
      <c r="B19" s="4" t="s">
        <v>131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1" customFormat="false" ht="15" hidden="false" customHeight="true" outlineLevel="0" collapsed="false">
      <c r="B21" s="6" t="s">
        <v>132</v>
      </c>
      <c r="D21" s="24" t="n">
        <v>0.0712</v>
      </c>
      <c r="N21" s="9"/>
    </row>
    <row r="22" customFormat="false" ht="15" hidden="false" customHeight="true" outlineLevel="0" collapsed="false">
      <c r="B22" s="6" t="s">
        <v>133</v>
      </c>
      <c r="D22" s="24" t="n">
        <v>0.06</v>
      </c>
      <c r="N22" s="9"/>
    </row>
    <row r="23" customFormat="false" ht="15" hidden="false" customHeight="true" outlineLevel="0" collapsed="false">
      <c r="B23" s="6" t="s">
        <v>134</v>
      </c>
      <c r="D23" s="24" t="n">
        <v>0.01</v>
      </c>
      <c r="N23" s="9"/>
    </row>
    <row r="24" customFormat="false" ht="15" hidden="false" customHeight="true" outlineLevel="0" collapsed="false">
      <c r="B24" s="6" t="s">
        <v>135</v>
      </c>
      <c r="D24" s="24" t="n">
        <v>0.255</v>
      </c>
      <c r="N24" s="9"/>
    </row>
    <row r="25" customFormat="false" ht="15" hidden="false" customHeight="true" outlineLevel="0" collapsed="false">
      <c r="B25" s="6" t="s">
        <v>136</v>
      </c>
      <c r="D25" s="27" t="n">
        <f aca="false">CHOOSE($I$18,I15,I16,I17)</f>
        <v>0.905477005181451</v>
      </c>
      <c r="N25" s="27"/>
    </row>
    <row r="26" customFormat="false" ht="15" hidden="false" customHeight="true" outlineLevel="0" collapsed="false">
      <c r="B26" s="6" t="s">
        <v>137</v>
      </c>
      <c r="D26" s="27" t="n">
        <f aca="false">D25*(1+(1-D24)*D23)</f>
        <v>0.912222808870052</v>
      </c>
      <c r="N26" s="27"/>
    </row>
    <row r="27" customFormat="false" ht="15" hidden="false" customHeight="true" outlineLevel="0" collapsed="false">
      <c r="B27" s="6" t="s">
        <v>138</v>
      </c>
      <c r="D27" s="9" t="n">
        <f aca="false">D21+D26*D22</f>
        <v>0.125933368532203</v>
      </c>
      <c r="N27" s="9"/>
    </row>
    <row r="30" customFormat="false" ht="15" hidden="false" customHeight="true" outlineLevel="0" collapsed="false">
      <c r="B30" s="4" t="s">
        <v>139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2" customFormat="false" ht="15" hidden="false" customHeight="true" outlineLevel="0" collapsed="false">
      <c r="B32" s="6" t="s">
        <v>140</v>
      </c>
      <c r="D32" s="7" t="n">
        <f aca="false">'Data Sheet'!C10</f>
        <v>154458.42598948</v>
      </c>
      <c r="N32" s="7"/>
    </row>
    <row r="33" customFormat="false" ht="15" hidden="false" customHeight="true" outlineLevel="0" collapsed="false">
      <c r="B33" s="6" t="s">
        <v>72</v>
      </c>
      <c r="D33" s="7" t="n">
        <f aca="false">'Data Sheet'!C12</f>
        <v>105.91</v>
      </c>
      <c r="N33" s="7"/>
    </row>
    <row r="34" customFormat="false" ht="15" hidden="false" customHeight="true" outlineLevel="0" collapsed="false">
      <c r="B34" s="6" t="s">
        <v>141</v>
      </c>
      <c r="D34" s="9" t="n">
        <f aca="false">1/(1+D23)</f>
        <v>0.99009900990099</v>
      </c>
      <c r="N34" s="9"/>
    </row>
    <row r="35" customFormat="false" ht="15" hidden="false" customHeight="true" outlineLevel="0" collapsed="false">
      <c r="B35" s="6" t="s">
        <v>142</v>
      </c>
      <c r="D35" s="9" t="n">
        <f aca="false">D23/(1+D23)</f>
        <v>0.0099009900990099</v>
      </c>
      <c r="N35" s="9"/>
    </row>
    <row r="36" customFormat="false" ht="15" hidden="false" customHeight="true" outlineLevel="0" collapsed="false">
      <c r="B36" s="6" t="s">
        <v>143</v>
      </c>
      <c r="D36" s="24" t="n">
        <v>0.084</v>
      </c>
      <c r="N36" s="9"/>
    </row>
    <row r="37" customFormat="false" ht="15" hidden="false" customHeight="true" outlineLevel="0" collapsed="false">
      <c r="B37" s="6" t="s">
        <v>144</v>
      </c>
      <c r="D37" s="9" t="n">
        <f aca="false">D36*(1-D24)</f>
        <v>0.06258</v>
      </c>
      <c r="N37" s="9"/>
    </row>
    <row r="38" customFormat="false" ht="15" hidden="false" customHeight="true" outlineLevel="0" collapsed="false">
      <c r="B38" s="6" t="s">
        <v>138</v>
      </c>
      <c r="D38" s="9" t="n">
        <f aca="false">D27</f>
        <v>0.125933368532203</v>
      </c>
      <c r="N38" s="9"/>
    </row>
    <row r="39" customFormat="false" ht="15" hidden="false" customHeight="true" outlineLevel="0" collapsed="false">
      <c r="B39" s="6" t="s">
        <v>145</v>
      </c>
      <c r="D39" s="9" t="n">
        <f aca="false">D34*D38+D35*D37</f>
        <v>0.125306107457627</v>
      </c>
      <c r="N39" s="9"/>
    </row>
    <row r="42" customFormat="false" ht="15" hidden="false" customHeight="true" outlineLevel="0" collapsed="false">
      <c r="B42" s="6" t="s">
        <v>146</v>
      </c>
    </row>
    <row r="43" customFormat="false" ht="15" hidden="false" customHeight="true" outlineLevel="0" collapsed="false">
      <c r="B43" s="21" t="s">
        <v>147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</row>
    <row r="44" customFormat="false" ht="15" hidden="false" customHeight="true" outlineLevel="0" collapsed="false"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</row>
    <row r="45" customFormat="false" ht="15" hidden="false" customHeight="true" outlineLevel="0" collapsed="false"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</row>
    <row r="46" customFormat="false" ht="15" hidden="false" customHeight="true" outlineLevel="0" collapsed="false"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</row>
  </sheetData>
  <mergeCells count="5">
    <mergeCell ref="B2:N2"/>
    <mergeCell ref="B6:N6"/>
    <mergeCell ref="B19:N19"/>
    <mergeCell ref="B30:N30"/>
    <mergeCell ref="B43:N46"/>
  </mergeCells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65911"/>
    <pageSetUpPr fitToPage="false"/>
  </sheetPr>
  <dimension ref="B2: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4" min="3" style="1" width="15"/>
    <col collapsed="false" customWidth="true" hidden="false" outlineLevel="0" max="6" min="5" style="1" width="17"/>
    <col collapsed="false" customWidth="true" hidden="false" outlineLevel="0" max="7" min="7" style="1" width="15"/>
    <col collapsed="false" customWidth="true" hidden="false" outlineLevel="0" max="8" min="8" style="1" width="13"/>
    <col collapsed="false" customWidth="true" hidden="false" outlineLevel="0" max="9" min="9" style="1" width="10"/>
    <col collapsed="false" customWidth="true" hidden="false" outlineLevel="0" max="10" min="10" style="1" width="11"/>
    <col collapsed="false" customWidth="true" hidden="false" outlineLevel="0" max="11" min="11" style="1" width="9"/>
    <col collapsed="false" customWidth="true" hidden="false" outlineLevel="0" max="12" min="12" style="1" width="46"/>
  </cols>
  <sheetData>
    <row r="2" customFormat="false" ht="24" hidden="false" customHeight="true" outlineLevel="0" collapsed="false">
      <c r="B2" s="30" t="s">
        <v>148</v>
      </c>
      <c r="C2" s="30"/>
      <c r="D2" s="30"/>
      <c r="E2" s="30"/>
      <c r="F2" s="30"/>
      <c r="G2" s="30"/>
      <c r="H2" s="30"/>
      <c r="I2" s="30"/>
      <c r="J2" s="30"/>
      <c r="K2" s="30"/>
    </row>
    <row r="4" customFormat="false" ht="15" hidden="false" customHeight="true" outlineLevel="0" collapsed="false">
      <c r="B4" s="31" t="s">
        <v>149</v>
      </c>
    </row>
    <row r="6" customFormat="false" ht="15" hidden="false" customHeight="true" outlineLevel="0" collapsed="false">
      <c r="B6" s="32" t="s">
        <v>150</v>
      </c>
      <c r="C6" s="32"/>
      <c r="D6" s="32"/>
      <c r="E6" s="32"/>
      <c r="F6" s="32"/>
      <c r="G6" s="32"/>
      <c r="H6" s="32"/>
      <c r="I6" s="32"/>
      <c r="J6" s="32"/>
      <c r="K6" s="32"/>
    </row>
    <row r="8" customFormat="false" ht="21.75" hidden="false" customHeight="true" outlineLevel="0" collapsed="false">
      <c r="B8" s="33" t="s">
        <v>108</v>
      </c>
      <c r="C8" s="33" t="s">
        <v>151</v>
      </c>
      <c r="D8" s="33" t="s">
        <v>85</v>
      </c>
      <c r="E8" s="33" t="s">
        <v>152</v>
      </c>
      <c r="F8" s="33" t="s">
        <v>153</v>
      </c>
      <c r="G8" s="33" t="s">
        <v>154</v>
      </c>
      <c r="H8" s="33" t="s">
        <v>155</v>
      </c>
      <c r="I8" s="33" t="s">
        <v>156</v>
      </c>
      <c r="J8" s="33" t="s">
        <v>157</v>
      </c>
      <c r="K8" s="33" t="s">
        <v>158</v>
      </c>
      <c r="L8" s="33" t="s">
        <v>115</v>
      </c>
    </row>
    <row r="9" customFormat="false" ht="42" hidden="false" customHeight="true" outlineLevel="0" collapsed="false">
      <c r="B9" s="34" t="s">
        <v>116</v>
      </c>
      <c r="C9" s="35" t="n">
        <f aca="false">WACC!E9</f>
        <v>229148.879</v>
      </c>
      <c r="D9" s="35" t="n">
        <f aca="false">WACC!D9</f>
        <v>2290.29</v>
      </c>
      <c r="E9" s="36" t="n">
        <v>7062</v>
      </c>
      <c r="F9" s="35" t="n">
        <f aca="false">C9+D9-E9</f>
        <v>224377.169</v>
      </c>
      <c r="G9" s="36" t="n">
        <v>7240</v>
      </c>
      <c r="H9" s="36" t="n">
        <v>4837</v>
      </c>
      <c r="I9" s="37" t="n">
        <v>49.68</v>
      </c>
      <c r="J9" s="38" t="n">
        <f aca="false">F9/G9</f>
        <v>30.9913216850829</v>
      </c>
      <c r="K9" s="38" t="n">
        <f aca="false">C9/H9</f>
        <v>47.3741738681001</v>
      </c>
      <c r="L9" s="39" t="s">
        <v>159</v>
      </c>
    </row>
    <row r="10" customFormat="false" ht="42" hidden="false" customHeight="true" outlineLevel="0" collapsed="false">
      <c r="B10" s="34" t="s">
        <v>119</v>
      </c>
      <c r="C10" s="35" t="n">
        <f aca="false">WACC!E10</f>
        <v>52386.558</v>
      </c>
      <c r="D10" s="35" t="n">
        <f aca="false">WACC!D10</f>
        <v>670.27</v>
      </c>
      <c r="E10" s="36" t="n">
        <v>1189</v>
      </c>
      <c r="F10" s="35" t="n">
        <f aca="false">C10+D10-E10</f>
        <v>51867.828</v>
      </c>
      <c r="G10" s="36" t="n">
        <v>1912</v>
      </c>
      <c r="H10" s="36" t="n">
        <v>1218</v>
      </c>
      <c r="I10" s="37" t="n">
        <v>10.44</v>
      </c>
      <c r="J10" s="38" t="n">
        <f aca="false">F10/G10</f>
        <v>27.1275251046025</v>
      </c>
      <c r="K10" s="38" t="n">
        <f aca="false">C10/H10</f>
        <v>43.0103103448276</v>
      </c>
      <c r="L10" s="39" t="s">
        <v>160</v>
      </c>
    </row>
    <row r="11" customFormat="false" ht="42" hidden="false" customHeight="true" outlineLevel="0" collapsed="false">
      <c r="B11" s="34" t="s">
        <v>121</v>
      </c>
      <c r="C11" s="35" t="n">
        <f aca="false">WACC!E11</f>
        <v>14480.1811</v>
      </c>
      <c r="D11" s="35" t="n">
        <f aca="false">WACC!D11</f>
        <v>296.39</v>
      </c>
      <c r="E11" s="36" t="n">
        <v>2365</v>
      </c>
      <c r="F11" s="35" t="n">
        <f aca="false">C11+D11-E11</f>
        <v>12411.5711</v>
      </c>
      <c r="G11" s="36" t="n">
        <v>1000</v>
      </c>
      <c r="H11" s="36" t="n">
        <v>589</v>
      </c>
      <c r="I11" s="37" t="n">
        <v>7.42</v>
      </c>
      <c r="J11" s="38" t="n">
        <f aca="false">F11/G11</f>
        <v>12.4115711</v>
      </c>
      <c r="K11" s="38" t="n">
        <f aca="false">C11/H11</f>
        <v>24.5843482173175</v>
      </c>
      <c r="L11" s="39" t="s">
        <v>161</v>
      </c>
    </row>
    <row r="12" customFormat="false" ht="42" hidden="false" customHeight="true" outlineLevel="0" collapsed="false">
      <c r="B12" s="34" t="s">
        <v>123</v>
      </c>
      <c r="C12" s="35" t="n">
        <f aca="false">WACC!E12</f>
        <v>37444.8</v>
      </c>
      <c r="D12" s="35" t="n">
        <f aca="false">WACC!D12</f>
        <v>1050</v>
      </c>
      <c r="E12" s="36" t="n">
        <v>0</v>
      </c>
      <c r="F12" s="35" t="n">
        <f aca="false">C12+D12-E12</f>
        <v>38494.8</v>
      </c>
      <c r="G12" s="36" t="n">
        <v>1108</v>
      </c>
      <c r="H12" s="36" t="n">
        <v>576</v>
      </c>
      <c r="I12" s="37" t="n">
        <v>21.43</v>
      </c>
      <c r="J12" s="38" t="n">
        <f aca="false">F12/G12</f>
        <v>34.7425992779783</v>
      </c>
      <c r="K12" s="38" t="n">
        <f aca="false">C12/H12</f>
        <v>65.0083333333333</v>
      </c>
      <c r="L12" s="39" t="s">
        <v>162</v>
      </c>
    </row>
    <row r="13" customFormat="false" ht="42" hidden="false" customHeight="true" outlineLevel="0" collapsed="false">
      <c r="B13" s="34" t="s">
        <v>125</v>
      </c>
      <c r="C13" s="35" t="n">
        <f aca="false">WACC!E13</f>
        <v>43611.8</v>
      </c>
      <c r="D13" s="35" t="n">
        <f aca="false">WACC!D13</f>
        <v>130</v>
      </c>
      <c r="E13" s="36" t="n">
        <v>762</v>
      </c>
      <c r="F13" s="35" t="n">
        <f aca="false">C13+D13-E13</f>
        <v>42979.8</v>
      </c>
      <c r="G13" s="36" t="n">
        <v>1632</v>
      </c>
      <c r="H13" s="36" t="n">
        <v>1032</v>
      </c>
      <c r="I13" s="37" t="n">
        <v>81.27</v>
      </c>
      <c r="J13" s="38" t="n">
        <f aca="false">F13/G13</f>
        <v>26.3356617647059</v>
      </c>
      <c r="K13" s="38" t="n">
        <f aca="false">C13/H13</f>
        <v>42.259496124031</v>
      </c>
      <c r="L13" s="39" t="s">
        <v>163</v>
      </c>
    </row>
    <row r="15" customFormat="false" ht="15" hidden="false" customHeight="true" outlineLevel="0" collapsed="false">
      <c r="B15" s="34" t="s">
        <v>164</v>
      </c>
      <c r="J15" s="38" t="n">
        <f aca="false">MEDIAN(J9:J13)</f>
        <v>27.1275251046025</v>
      </c>
    </row>
    <row r="16" customFormat="false" ht="15" hidden="false" customHeight="true" outlineLevel="0" collapsed="false">
      <c r="B16" s="34" t="s">
        <v>165</v>
      </c>
      <c r="K16" s="38" t="n">
        <f aca="false">MEDIAN(K9:K13)</f>
        <v>43.0103103448276</v>
      </c>
    </row>
    <row r="19" customFormat="false" ht="15" hidden="false" customHeight="true" outlineLevel="0" collapsed="false">
      <c r="B19" s="32" t="s">
        <v>166</v>
      </c>
      <c r="C19" s="32"/>
      <c r="D19" s="32"/>
      <c r="E19" s="32"/>
      <c r="F19" s="32"/>
      <c r="G19" s="32"/>
      <c r="H19" s="32"/>
      <c r="I19" s="32"/>
      <c r="J19" s="32"/>
      <c r="K19" s="32"/>
    </row>
    <row r="21" customFormat="false" ht="15" hidden="false" customHeight="true" outlineLevel="0" collapsed="false">
      <c r="B21" s="34" t="s">
        <v>167</v>
      </c>
      <c r="D21" s="35" t="n">
        <f aca="false">'RAW FS'!G8</f>
        <v>4163.81</v>
      </c>
    </row>
    <row r="22" customFormat="false" ht="15" hidden="false" customHeight="true" outlineLevel="0" collapsed="false">
      <c r="B22" s="34" t="s">
        <v>168</v>
      </c>
      <c r="D22" s="35" t="n">
        <f aca="false">DCF!K23</f>
        <v>4456.9033575</v>
      </c>
    </row>
    <row r="23" customFormat="false" ht="15" hidden="false" customHeight="true" outlineLevel="0" collapsed="false">
      <c r="B23" s="34" t="s">
        <v>169</v>
      </c>
      <c r="D23" s="35" t="n">
        <f aca="false">'RAW FS'!G12</f>
        <v>2448.92</v>
      </c>
    </row>
    <row r="24" customFormat="false" ht="15" hidden="false" customHeight="true" outlineLevel="0" collapsed="false">
      <c r="B24" s="34" t="s">
        <v>46</v>
      </c>
      <c r="D24" s="40" t="n">
        <f aca="false">'Data Sheet'!C9</f>
        <v>1018.049209</v>
      </c>
    </row>
    <row r="25" customFormat="false" ht="15" hidden="false" customHeight="true" outlineLevel="0" collapsed="false">
      <c r="B25" s="34" t="s">
        <v>85</v>
      </c>
      <c r="D25" s="35" t="n">
        <f aca="false">'Data Sheet'!C12</f>
        <v>105.91</v>
      </c>
    </row>
    <row r="26" customFormat="false" ht="15" hidden="false" customHeight="true" outlineLevel="0" collapsed="false">
      <c r="B26" s="34" t="s">
        <v>86</v>
      </c>
      <c r="D26" s="35" t="n">
        <f aca="false">'Data Sheet'!C13</f>
        <v>298.9</v>
      </c>
    </row>
    <row r="27" customFormat="false" ht="15" hidden="false" customHeight="true" outlineLevel="0" collapsed="false">
      <c r="B27" s="34" t="s">
        <v>87</v>
      </c>
      <c r="D27" s="35" t="n">
        <f aca="false">'Data Sheet'!C14</f>
        <v>3919.83</v>
      </c>
    </row>
    <row r="29" customFormat="false" ht="15" hidden="false" customHeight="true" outlineLevel="0" collapsed="false">
      <c r="B29" s="32" t="s">
        <v>170</v>
      </c>
      <c r="C29" s="32"/>
      <c r="D29" s="32"/>
      <c r="E29" s="32"/>
      <c r="F29" s="32"/>
      <c r="G29" s="32"/>
      <c r="H29" s="32"/>
      <c r="I29" s="32"/>
      <c r="J29" s="32"/>
      <c r="K29" s="32"/>
    </row>
    <row r="31" customFormat="false" ht="15" hidden="false" customHeight="true" outlineLevel="0" collapsed="false">
      <c r="B31" s="34" t="s">
        <v>171</v>
      </c>
      <c r="D31" s="35" t="n">
        <f aca="false">$J$15*D21</f>
        <v>112953.860305795</v>
      </c>
    </row>
    <row r="32" customFormat="false" ht="15" hidden="false" customHeight="true" outlineLevel="0" collapsed="false">
      <c r="B32" s="34" t="s">
        <v>172</v>
      </c>
      <c r="D32" s="35" t="n">
        <f aca="false">$J$15*D22</f>
        <v>120904.757719368</v>
      </c>
    </row>
    <row r="33" customFormat="false" ht="15" hidden="false" customHeight="true" outlineLevel="0" collapsed="false">
      <c r="B33" s="34" t="s">
        <v>173</v>
      </c>
      <c r="D33" s="35" t="n">
        <f aca="false">D31+D26+D27-D25</f>
        <v>117066.680305795</v>
      </c>
    </row>
    <row r="34" customFormat="false" ht="15" hidden="false" customHeight="true" outlineLevel="0" collapsed="false">
      <c r="B34" s="34" t="s">
        <v>174</v>
      </c>
      <c r="D34" s="35" t="n">
        <f aca="false">D32+D26+D27-D25</f>
        <v>125017.577719368</v>
      </c>
    </row>
    <row r="35" customFormat="false" ht="15" hidden="false" customHeight="true" outlineLevel="0" collapsed="false">
      <c r="B35" s="15" t="s">
        <v>175</v>
      </c>
      <c r="D35" s="16" t="n">
        <f aca="false">D33/D24*10</f>
        <v>1149.91180456578</v>
      </c>
    </row>
    <row r="36" customFormat="false" ht="15" hidden="false" customHeight="true" outlineLevel="0" collapsed="false">
      <c r="B36" s="15" t="s">
        <v>176</v>
      </c>
      <c r="D36" s="16" t="n">
        <f aca="false">D34/D24*10</f>
        <v>1228.011147341</v>
      </c>
    </row>
    <row r="37" customFormat="false" ht="15" hidden="false" customHeight="true" outlineLevel="0" collapsed="false">
      <c r="B37" s="15" t="s">
        <v>177</v>
      </c>
      <c r="D37" s="16" t="n">
        <f aca="false">$K$16*(D23/D24*10)</f>
        <v>1034.61412551085</v>
      </c>
    </row>
    <row r="40" customFormat="false" ht="15" hidden="false" customHeight="true" outlineLevel="0" collapsed="false">
      <c r="B40" s="41" t="s">
        <v>178</v>
      </c>
      <c r="C40" s="41"/>
      <c r="D40" s="41"/>
      <c r="E40" s="41"/>
      <c r="F40" s="41"/>
      <c r="G40" s="41"/>
      <c r="H40" s="41"/>
      <c r="I40" s="41"/>
      <c r="J40" s="41"/>
      <c r="K40" s="41"/>
      <c r="L40" s="41"/>
    </row>
    <row r="41" customFormat="false" ht="15" hidden="false" customHeight="true" outlineLevel="0" collapsed="false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</row>
    <row r="42" customFormat="false" ht="15" hidden="false" customHeight="true" outlineLevel="0" collapsed="false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</row>
    <row r="43" customFormat="false" ht="15" hidden="false" customHeight="true" outlineLevel="0" collapsed="false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</row>
  </sheetData>
  <mergeCells count="5">
    <mergeCell ref="B2:K2"/>
    <mergeCell ref="B6:K6"/>
    <mergeCell ref="B19:K19"/>
    <mergeCell ref="B29:K29"/>
    <mergeCell ref="B40:L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B2:P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"/>
    <col collapsed="false" customWidth="true" hidden="false" outlineLevel="0" max="5" min="3" style="1" width="4"/>
    <col collapsed="false" customWidth="true" hidden="false" outlineLevel="0" max="15" min="6" style="1" width="15"/>
    <col collapsed="false" customWidth="true" hidden="false" outlineLevel="0" max="16" min="16" style="1" width="18"/>
  </cols>
  <sheetData>
    <row r="2" customFormat="false" ht="24" hidden="false" customHeight="true" outlineLevel="0" collapsed="false">
      <c r="B2" s="2" t="s">
        <v>179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15" hidden="false" customHeight="true" outlineLevel="0" collapsed="false">
      <c r="B4" s="3" t="s">
        <v>180</v>
      </c>
    </row>
    <row r="6" customFormat="false" ht="15" hidden="false" customHeight="true" outlineLevel="0" collapsed="false">
      <c r="B6" s="4" t="s">
        <v>181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8" customFormat="false" ht="15" hidden="false" customHeight="true" outlineLevel="0" collapsed="false">
      <c r="B8" s="5" t="s">
        <v>90</v>
      </c>
      <c r="C8" s="5"/>
      <c r="D8" s="5"/>
      <c r="E8" s="5"/>
      <c r="F8" s="5" t="s">
        <v>4</v>
      </c>
      <c r="G8" s="5" t="s">
        <v>5</v>
      </c>
      <c r="H8" s="5" t="s">
        <v>6</v>
      </c>
      <c r="I8" s="5" t="s">
        <v>7</v>
      </c>
      <c r="J8" s="5" t="s">
        <v>8</v>
      </c>
      <c r="K8" s="5"/>
      <c r="L8" s="5"/>
      <c r="M8" s="5"/>
      <c r="N8" s="5"/>
      <c r="O8" s="5"/>
    </row>
    <row r="9" customFormat="false" ht="15" hidden="false" customHeight="true" outlineLevel="0" collapsed="false">
      <c r="B9" s="6" t="s">
        <v>182</v>
      </c>
      <c r="F9" s="7" t="n">
        <f aca="false">'RAW FS'!C14+'RAW FS'!C15+'RAW FS'!C16</f>
        <v>3486.92</v>
      </c>
      <c r="G9" s="7" t="n">
        <f aca="false">'RAW FS'!D14+'RAW FS'!D15+'RAW FS'!D16</f>
        <v>3703.67</v>
      </c>
      <c r="H9" s="7" t="n">
        <f aca="false">'RAW FS'!E14+'RAW FS'!E15+'RAW FS'!E16</f>
        <v>3432.96</v>
      </c>
      <c r="I9" s="7" t="n">
        <f aca="false">'RAW FS'!F14+'RAW FS'!F15+'RAW FS'!F16</f>
        <v>3963.82</v>
      </c>
      <c r="J9" s="7" t="n">
        <f aca="false">'RAW FS'!G14+'RAW FS'!G15+'RAW FS'!G16</f>
        <v>4313.15</v>
      </c>
    </row>
    <row r="10" customFormat="false" ht="15" hidden="false" customHeight="true" outlineLevel="0" collapsed="false">
      <c r="B10" s="6" t="s">
        <v>183</v>
      </c>
      <c r="F10" s="7" t="n">
        <f aca="false">'RAW FS'!C17+'RAW FS'!C18</f>
        <v>1996.72</v>
      </c>
      <c r="G10" s="7" t="n">
        <f aca="false">'RAW FS'!D17+'RAW FS'!D18</f>
        <v>2212.38</v>
      </c>
      <c r="H10" s="7" t="n">
        <f aca="false">'RAW FS'!E17+'RAW FS'!E18</f>
        <v>2470.27</v>
      </c>
      <c r="I10" s="7" t="n">
        <f aca="false">'RAW FS'!F17+'RAW FS'!F18</f>
        <v>2893.03</v>
      </c>
      <c r="J10" s="7" t="n">
        <f aca="false">'RAW FS'!G17+'RAW FS'!G18</f>
        <v>3221.84</v>
      </c>
    </row>
    <row r="11" customFormat="false" ht="15" hidden="false" customHeight="true" outlineLevel="0" collapsed="false">
      <c r="B11" s="6" t="s">
        <v>184</v>
      </c>
      <c r="F11" s="7" t="n">
        <f aca="false">F9-F10</f>
        <v>1490.2</v>
      </c>
      <c r="G11" s="7" t="n">
        <f aca="false">G9-G10</f>
        <v>1491.29</v>
      </c>
      <c r="H11" s="7" t="n">
        <f aca="false">H9-H10</f>
        <v>962.69</v>
      </c>
      <c r="I11" s="7" t="n">
        <f aca="false">I9-I10</f>
        <v>1070.79</v>
      </c>
      <c r="J11" s="7" t="n">
        <f aca="false">J9-J10</f>
        <v>1091.31</v>
      </c>
    </row>
    <row r="12" customFormat="false" ht="15" hidden="false" customHeight="true" outlineLevel="0" collapsed="false">
      <c r="B12" s="6" t="s">
        <v>185</v>
      </c>
      <c r="F12" s="7" t="n">
        <f aca="false">'RAW FS'!C23-'RAW FS'!C20-'RAW FS'!C21</f>
        <v>5875.02</v>
      </c>
      <c r="G12" s="7" t="n">
        <f aca="false">'RAW FS'!D23-'RAW FS'!D20-'RAW FS'!D21</f>
        <v>6354.43</v>
      </c>
      <c r="H12" s="7" t="n">
        <f aca="false">'RAW FS'!E23-'RAW FS'!E20-'RAW FS'!E21</f>
        <v>6003.71</v>
      </c>
      <c r="I12" s="7" t="n">
        <f aca="false">'RAW FS'!F23-'RAW FS'!F20-'RAW FS'!F21</f>
        <v>6256.29</v>
      </c>
      <c r="J12" s="7" t="n">
        <f aca="false">'RAW FS'!G23-'RAW FS'!G20-'RAW FS'!G21</f>
        <v>6613.44</v>
      </c>
    </row>
    <row r="13" customFormat="false" ht="15" hidden="false" customHeight="true" outlineLevel="0" collapsed="false">
      <c r="B13" s="6" t="s">
        <v>26</v>
      </c>
      <c r="F13" s="7" t="n">
        <f aca="false">'RAW FS'!C10</f>
        <v>1826</v>
      </c>
      <c r="G13" s="7" t="n">
        <f aca="false">'RAW FS'!D10</f>
        <v>1943</v>
      </c>
      <c r="H13" s="7" t="n">
        <f aca="false">'RAW FS'!E10</f>
        <v>2768</v>
      </c>
      <c r="I13" s="7" t="n">
        <f aca="false">'RAW FS'!F10</f>
        <v>3231.52</v>
      </c>
      <c r="J13" s="7" t="n">
        <f aca="false">'RAW FS'!G10</f>
        <v>3769.1</v>
      </c>
    </row>
    <row r="14" customFormat="false" ht="15" hidden="false" customHeight="true" outlineLevel="0" collapsed="false">
      <c r="B14" s="6" t="s">
        <v>27</v>
      </c>
      <c r="F14" s="7" t="n">
        <f aca="false">('RAW FS'!C11-'RAW FS'!C12)/'RAW FS'!C11</f>
        <v>0.248205741626794</v>
      </c>
      <c r="G14" s="7" t="n">
        <f aca="false">('RAW FS'!D11-'RAW FS'!D12)/'RAW FS'!D11</f>
        <v>0.266013871889025</v>
      </c>
      <c r="H14" s="7" t="n">
        <f aca="false">('RAW FS'!E11-'RAW FS'!E12)/'RAW FS'!E11</f>
        <v>0.146162932790224</v>
      </c>
      <c r="I14" s="7" t="n">
        <f aca="false">('RAW FS'!F11-'RAW FS'!F12)/'RAW FS'!F11</f>
        <v>0.264448931873738</v>
      </c>
      <c r="J14" s="7" t="n">
        <f aca="false">('RAW FS'!G11-'RAW FS'!G12)/'RAW FS'!G11</f>
        <v>0.26241126207393</v>
      </c>
    </row>
    <row r="15" customFormat="false" ht="15" hidden="false" customHeight="true" outlineLevel="0" collapsed="false">
      <c r="B15" s="6" t="s">
        <v>28</v>
      </c>
      <c r="F15" s="7" t="n">
        <f aca="false">F13*(1-F14)</f>
        <v>1372.77631578947</v>
      </c>
      <c r="G15" s="7" t="n">
        <f aca="false">G13*(1-G14)</f>
        <v>1426.13504691962</v>
      </c>
      <c r="H15" s="7" t="n">
        <f aca="false">H13*(1-H14)</f>
        <v>2363.42100203666</v>
      </c>
      <c r="I15" s="7" t="n">
        <f aca="false">I13*(1-I14)</f>
        <v>2376.94798767138</v>
      </c>
      <c r="J15" s="7" t="n">
        <f aca="false">J13*(1-J14)</f>
        <v>2780.04571211715</v>
      </c>
    </row>
    <row r="16" customFormat="false" ht="15" hidden="false" customHeight="true" outlineLevel="0" collapsed="false">
      <c r="B16" s="6" t="s">
        <v>186</v>
      </c>
      <c r="F16" s="9" t="n">
        <f aca="false">F15/F12</f>
        <v>0.23366325830201</v>
      </c>
      <c r="G16" s="9" t="n">
        <f aca="false">G15/G12</f>
        <v>0.224431624381671</v>
      </c>
      <c r="H16" s="9" t="n">
        <f aca="false">H15/H12</f>
        <v>0.393660087185534</v>
      </c>
      <c r="I16" s="9" t="n">
        <f aca="false">I15/I12</f>
        <v>0.379929317162628</v>
      </c>
      <c r="J16" s="9" t="n">
        <f aca="false">J15/J12</f>
        <v>0.420363035291339</v>
      </c>
    </row>
    <row r="19" customFormat="false" ht="15" hidden="false" customHeight="true" outlineLevel="0" collapsed="false">
      <c r="B19" s="4" t="s">
        <v>187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1" customFormat="false" ht="15" hidden="false" customHeight="true" outlineLevel="0" collapsed="false">
      <c r="B21" s="5" t="s">
        <v>90</v>
      </c>
      <c r="C21" s="5"/>
      <c r="D21" s="5"/>
      <c r="E21" s="5"/>
      <c r="F21" s="5" t="s">
        <v>4</v>
      </c>
      <c r="G21" s="5" t="s">
        <v>5</v>
      </c>
      <c r="H21" s="5" t="s">
        <v>6</v>
      </c>
      <c r="I21" s="5" t="s">
        <v>7</v>
      </c>
      <c r="J21" s="5" t="s">
        <v>8</v>
      </c>
      <c r="K21" s="5"/>
      <c r="L21" s="5"/>
      <c r="M21" s="5"/>
      <c r="N21" s="5"/>
      <c r="O21" s="5"/>
    </row>
    <row r="22" customFormat="false" ht="15" hidden="false" customHeight="true" outlineLevel="0" collapsed="false">
      <c r="B22" s="6" t="s">
        <v>29</v>
      </c>
      <c r="F22" s="7" t="n">
        <f aca="false">'RAW FS'!C13</f>
        <v>374.7</v>
      </c>
      <c r="G22" s="7" t="n">
        <f aca="false">'RAW FS'!D13</f>
        <v>505.4</v>
      </c>
      <c r="H22" s="7" t="n">
        <f aca="false">'RAW FS'!E13</f>
        <v>558.7</v>
      </c>
      <c r="I22" s="7" t="n">
        <f aca="false">'RAW FS'!F13</f>
        <v>452.34</v>
      </c>
      <c r="J22" s="7" t="n">
        <f aca="false">'RAW FS'!G13</f>
        <v>592.77</v>
      </c>
      <c r="P22" s="6" t="s">
        <v>188</v>
      </c>
    </row>
    <row r="23" customFormat="false" ht="15" hidden="false" customHeight="true" outlineLevel="0" collapsed="false">
      <c r="B23" s="6" t="s">
        <v>25</v>
      </c>
      <c r="F23" s="7" t="n">
        <f aca="false">'RAW FS'!C9</f>
        <v>194</v>
      </c>
      <c r="G23" s="7" t="n">
        <f aca="false">'RAW FS'!D9</f>
        <v>222</v>
      </c>
      <c r="H23" s="7" t="n">
        <f aca="false">'RAW FS'!E9</f>
        <v>289</v>
      </c>
      <c r="I23" s="7" t="n">
        <f aca="false">'RAW FS'!F9</f>
        <v>358.48</v>
      </c>
      <c r="J23" s="7" t="n">
        <f aca="false">'RAW FS'!G9</f>
        <v>394.71</v>
      </c>
      <c r="P23" s="9" t="n">
        <f aca="false">MEDIAN(F28:J28)</f>
        <v>0.0322811122885927</v>
      </c>
    </row>
    <row r="24" customFormat="false" ht="15" hidden="false" customHeight="true" outlineLevel="0" collapsed="false">
      <c r="B24" s="6" t="s">
        <v>31</v>
      </c>
      <c r="F24" s="7" t="n">
        <v>0</v>
      </c>
      <c r="G24" s="7" t="n">
        <f aca="false">G11-F11</f>
        <v>1.08999999999969</v>
      </c>
      <c r="H24" s="7" t="n">
        <f aca="false">H11-G11</f>
        <v>-528.6</v>
      </c>
      <c r="I24" s="7" t="n">
        <f aca="false">I11-H11</f>
        <v>108.1</v>
      </c>
      <c r="J24" s="7" t="n">
        <f aca="false">J11-I11</f>
        <v>20.5199999999995</v>
      </c>
      <c r="P24" s="6" t="s">
        <v>189</v>
      </c>
    </row>
    <row r="25" customFormat="false" ht="15" hidden="false" customHeight="true" outlineLevel="0" collapsed="false">
      <c r="B25" s="6" t="s">
        <v>190</v>
      </c>
      <c r="F25" s="7" t="n">
        <f aca="false">F22-F23+F24</f>
        <v>180.7</v>
      </c>
      <c r="G25" s="7" t="n">
        <f aca="false">G22-G23+G24</f>
        <v>284.49</v>
      </c>
      <c r="H25" s="7" t="n">
        <f aca="false">H22-H23+H24</f>
        <v>-258.9</v>
      </c>
      <c r="I25" s="7" t="n">
        <f aca="false">I22-I23+I24</f>
        <v>201.96</v>
      </c>
      <c r="J25" s="7" t="n">
        <f aca="false">J22-J23+J24</f>
        <v>218.58</v>
      </c>
      <c r="P25" s="9" t="n">
        <f aca="false">AVERAGE(F28:J28)</f>
        <v>0.0195472677039123</v>
      </c>
    </row>
    <row r="26" customFormat="false" ht="15" hidden="false" customHeight="true" outlineLevel="0" collapsed="false">
      <c r="B26" s="6" t="s">
        <v>191</v>
      </c>
      <c r="F26" s="9" t="n">
        <f aca="false">F25/F15</f>
        <v>0.131631058841572</v>
      </c>
      <c r="G26" s="9" t="n">
        <f aca="false">G25/G15</f>
        <v>0.199483212066405</v>
      </c>
      <c r="H26" s="9" t="n">
        <f aca="false">H25/H15</f>
        <v>-0.109544596488266</v>
      </c>
      <c r="I26" s="9" t="n">
        <f aca="false">I25/I15</f>
        <v>0.0849660998252864</v>
      </c>
      <c r="J26" s="9" t="n">
        <f aca="false">J25/J15</f>
        <v>0.0786246064398486</v>
      </c>
      <c r="P26" s="6" t="s">
        <v>192</v>
      </c>
    </row>
    <row r="27" customFormat="false" ht="15" hidden="false" customHeight="true" outlineLevel="0" collapsed="false">
      <c r="B27" s="6" t="s">
        <v>186</v>
      </c>
      <c r="F27" s="9" t="n">
        <f aca="false">F16</f>
        <v>0.23366325830201</v>
      </c>
      <c r="G27" s="9" t="n">
        <f aca="false">G16</f>
        <v>0.224431624381671</v>
      </c>
      <c r="H27" s="9" t="n">
        <f aca="false">H16</f>
        <v>0.393660087185534</v>
      </c>
      <c r="I27" s="9" t="n">
        <f aca="false">I16</f>
        <v>0.379929317162628</v>
      </c>
      <c r="J27" s="9" t="n">
        <f aca="false">J16</f>
        <v>0.420363035291339</v>
      </c>
      <c r="P27" s="9" t="n">
        <f aca="false">'Data Sheet'!C39</f>
        <v>0.055</v>
      </c>
    </row>
    <row r="28" customFormat="false" ht="15" hidden="false" customHeight="true" outlineLevel="0" collapsed="false">
      <c r="B28" s="6" t="s">
        <v>193</v>
      </c>
      <c r="F28" s="9" t="n">
        <f aca="false">F26*F27</f>
        <v>0.0307573421026652</v>
      </c>
      <c r="G28" s="9" t="n">
        <f aca="false">G26*G27</f>
        <v>0.0447703413209367</v>
      </c>
      <c r="H28" s="9" t="n">
        <f aca="false">H26*H27</f>
        <v>-0.043123335404275</v>
      </c>
      <c r="I28" s="9" t="n">
        <f aca="false">I26*I27</f>
        <v>0.0322811122885927</v>
      </c>
      <c r="J28" s="9" t="n">
        <f aca="false">J26*J27</f>
        <v>0.0330508782116417</v>
      </c>
    </row>
  </sheetData>
  <mergeCells count="3">
    <mergeCell ref="B2:P2"/>
    <mergeCell ref="B6:O6"/>
    <mergeCell ref="B19:O19"/>
  </mergeCells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A5A5"/>
    <pageSetUpPr fitToPage="true"/>
  </sheetPr>
  <dimension ref="B2:M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4" min="3" style="1" width="16"/>
    <col collapsed="false" customWidth="true" hidden="false" outlineLevel="0" max="5" min="5" style="1" width="10.2"/>
    <col collapsed="false" customWidth="true" hidden="false" outlineLevel="0" max="7" min="6" style="1" width="16"/>
    <col collapsed="false" customWidth="true" hidden="false" outlineLevel="0" max="8" min="8" style="1" width="5"/>
    <col collapsed="false" customWidth="true" hidden="false" outlineLevel="0" max="9" min="9" style="1" width="24"/>
    <col collapsed="false" customWidth="true" hidden="false" outlineLevel="0" max="10" min="10" style="1" width="16"/>
    <col collapsed="false" customWidth="true" hidden="false" outlineLevel="0" max="12" min="11" style="1" width="14"/>
    <col collapsed="false" customWidth="true" hidden="false" outlineLevel="0" max="13" min="13" style="1" width="16"/>
  </cols>
  <sheetData>
    <row r="2" customFormat="false" ht="24" hidden="false" customHeight="true" outlineLevel="0" collapsed="false">
      <c r="B2" s="2" t="s">
        <v>194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true" outlineLevel="0" collapsed="false">
      <c r="B4" s="3" t="s">
        <v>195</v>
      </c>
    </row>
    <row r="6" customFormat="false" ht="15" hidden="false" customHeight="true" outlineLevel="0" collapsed="false">
      <c r="B6" s="4" t="s">
        <v>196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8" customFormat="false" ht="15" hidden="false" customHeight="true" outlineLevel="0" collapsed="false">
      <c r="B8" s="6" t="s">
        <v>108</v>
      </c>
      <c r="C8" s="6" t="s">
        <v>197</v>
      </c>
    </row>
    <row r="9" customFormat="false" ht="15" hidden="false" customHeight="true" outlineLevel="0" collapsed="false">
      <c r="B9" s="6" t="s">
        <v>198</v>
      </c>
      <c r="C9" s="28" t="n">
        <f aca="false">J23</f>
        <v>0.443733517934375</v>
      </c>
    </row>
    <row r="10" customFormat="false" ht="15" hidden="false" customHeight="true" outlineLevel="0" collapsed="false">
      <c r="B10" s="6" t="s">
        <v>199</v>
      </c>
      <c r="C10" s="6" t="s">
        <v>200</v>
      </c>
    </row>
    <row r="12" customFormat="false" ht="15" hidden="false" customHeight="true" outlineLevel="0" collapsed="false">
      <c r="B12" s="6" t="s">
        <v>201</v>
      </c>
      <c r="C12" s="42" t="n">
        <v>0.75</v>
      </c>
    </row>
    <row r="13" customFormat="false" ht="15" hidden="false" customHeight="true" outlineLevel="0" collapsed="false">
      <c r="B13" s="6" t="s">
        <v>202</v>
      </c>
      <c r="C13" s="27" t="n">
        <v>1</v>
      </c>
    </row>
    <row r="14" customFormat="false" ht="15" hidden="false" customHeight="true" outlineLevel="0" collapsed="false">
      <c r="B14" s="6" t="s">
        <v>203</v>
      </c>
      <c r="C14" s="42" t="n">
        <f aca="false">1-C12</f>
        <v>0.25</v>
      </c>
    </row>
    <row r="15" customFormat="false" ht="15" hidden="false" customHeight="true" outlineLevel="0" collapsed="false">
      <c r="B15" s="6" t="s">
        <v>204</v>
      </c>
      <c r="C15" s="27" t="n">
        <f aca="false">C9*C12+C13*C14</f>
        <v>0.582800138450781</v>
      </c>
    </row>
    <row r="18" customFormat="false" ht="15" hidden="false" customHeight="true" outlineLevel="0" collapsed="false">
      <c r="B18" s="19" t="s">
        <v>205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</row>
    <row r="19" customFormat="false" ht="15" hidden="false" customHeight="true" outlineLevel="0" collapsed="false"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</row>
    <row r="20" customFormat="false" ht="15" hidden="false" customHeight="true" outlineLevel="0" collapsed="false"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</row>
    <row r="23" customFormat="false" ht="32.25" hidden="false" customHeight="true" outlineLevel="0" collapsed="false">
      <c r="B23" s="5" t="s">
        <v>206</v>
      </c>
      <c r="C23" s="5" t="s">
        <v>207</v>
      </c>
      <c r="D23" s="5" t="s">
        <v>208</v>
      </c>
      <c r="E23" s="5" t="s">
        <v>209</v>
      </c>
      <c r="F23" s="5" t="s">
        <v>210</v>
      </c>
      <c r="G23" s="5"/>
      <c r="I23" s="6" t="s">
        <v>211</v>
      </c>
      <c r="J23" s="6" t="n">
        <f aca="false">IFERROR(SLOPE(D25:D47,F25:F47),"")</f>
        <v>0.443733517934375</v>
      </c>
    </row>
    <row r="24" customFormat="false" ht="15" hidden="false" customHeight="true" outlineLevel="0" collapsed="false">
      <c r="B24" s="43" t="n">
        <v>45566</v>
      </c>
      <c r="C24" s="44" t="n">
        <v>1761.28</v>
      </c>
      <c r="E24" s="45" t="n">
        <v>24205.35</v>
      </c>
    </row>
    <row r="25" customFormat="false" ht="15" hidden="false" customHeight="true" outlineLevel="0" collapsed="false">
      <c r="B25" s="43" t="n">
        <v>45597</v>
      </c>
      <c r="C25" s="44" t="n">
        <v>1782.87</v>
      </c>
      <c r="D25" s="9" t="n">
        <f aca="false">IFERROR(C25/C24-1,"")</f>
        <v>0.0122581304505813</v>
      </c>
      <c r="E25" s="45" t="n">
        <v>24131.1</v>
      </c>
      <c r="F25" s="8" t="n">
        <f aca="false">IFERROR(E25/E24-1,"")</f>
        <v>-0.00306750367170894</v>
      </c>
      <c r="G25" s="6"/>
    </row>
    <row r="26" customFormat="false" ht="15" hidden="false" customHeight="true" outlineLevel="0" collapsed="false">
      <c r="B26" s="43" t="n">
        <v>45627</v>
      </c>
      <c r="C26" s="44" t="n">
        <v>1645.21</v>
      </c>
      <c r="D26" s="9" t="n">
        <f aca="false">IFERROR(C26/C25-1,"")</f>
        <v>-0.0772125842041203</v>
      </c>
      <c r="E26" s="45" t="n">
        <v>23644.8</v>
      </c>
      <c r="F26" s="8" t="n">
        <f aca="false">IFERROR(E26/E25-1,"")</f>
        <v>-0.0201524174198441</v>
      </c>
      <c r="G26" s="6"/>
    </row>
    <row r="27" customFormat="false" ht="15" hidden="false" customHeight="true" outlineLevel="0" collapsed="false">
      <c r="B27" s="43" t="n">
        <v>45658</v>
      </c>
      <c r="C27" s="44" t="n">
        <v>1500.88</v>
      </c>
      <c r="D27" s="9" t="n">
        <f aca="false">IFERROR(C27/C26-1,"")</f>
        <v>-0.0877274025808255</v>
      </c>
      <c r="E27" s="45" t="n">
        <v>23508.4</v>
      </c>
      <c r="F27" s="8" t="n">
        <f aca="false">IFERROR(E27/E26-1,"")</f>
        <v>-0.00576871024495862</v>
      </c>
      <c r="G27" s="6"/>
    </row>
    <row r="28" customFormat="false" ht="15" hidden="false" customHeight="true" outlineLevel="0" collapsed="false">
      <c r="B28" s="43" t="n">
        <v>45689</v>
      </c>
      <c r="C28" s="44" t="n">
        <v>1331.55</v>
      </c>
      <c r="D28" s="9" t="n">
        <f aca="false">IFERROR(C28/C27-1,"")</f>
        <v>-0.112820478652524</v>
      </c>
      <c r="E28" s="45" t="n">
        <v>22124.7</v>
      </c>
      <c r="F28" s="8" t="n">
        <f aca="false">IFERROR(E28/E27-1,"")</f>
        <v>-0.0588598118119481</v>
      </c>
      <c r="G28" s="6"/>
    </row>
    <row r="29" customFormat="false" ht="15" hidden="false" customHeight="true" outlineLevel="0" collapsed="false">
      <c r="B29" s="43" t="n">
        <v>45717</v>
      </c>
      <c r="C29" s="44" t="n">
        <v>1288.73</v>
      </c>
      <c r="D29" s="9" t="n">
        <f aca="false">IFERROR(C29/C28-1,"")</f>
        <v>-0.0321580113401674</v>
      </c>
      <c r="E29" s="45" t="n">
        <v>23519.35</v>
      </c>
      <c r="F29" s="8" t="n">
        <f aca="false">IFERROR(E29/E28-1,"")</f>
        <v>0.0630358829724245</v>
      </c>
      <c r="G29" s="6"/>
    </row>
    <row r="30" customFormat="false" ht="15" hidden="false" customHeight="true" outlineLevel="0" collapsed="false">
      <c r="B30" s="43" t="n">
        <v>45748</v>
      </c>
      <c r="C30" s="44" t="n">
        <v>1339.37</v>
      </c>
      <c r="D30" s="9" t="n">
        <f aca="false">IFERROR(C30/C29-1,"")</f>
        <v>0.0392944992356816</v>
      </c>
      <c r="E30" s="45" t="n">
        <v>24334.2</v>
      </c>
      <c r="F30" s="8" t="n">
        <f aca="false">IFERROR(E30/E29-1,"")</f>
        <v>0.0346459404702937</v>
      </c>
      <c r="G30" s="6"/>
    </row>
    <row r="31" customFormat="false" ht="15" hidden="false" customHeight="true" outlineLevel="0" collapsed="false">
      <c r="B31" s="43" t="n">
        <v>45778</v>
      </c>
      <c r="C31" s="44" t="n">
        <v>1491.71</v>
      </c>
      <c r="D31" s="9" t="n">
        <f aca="false">IFERROR(C31/C30-1,"")</f>
        <v>0.113740041960026</v>
      </c>
      <c r="E31" s="45" t="n">
        <v>24750.7</v>
      </c>
      <c r="F31" s="8" t="n">
        <f aca="false">IFERROR(E31/E30-1,"")</f>
        <v>0.0171158287513047</v>
      </c>
      <c r="G31" s="6"/>
    </row>
    <row r="32" customFormat="false" ht="15" hidden="false" customHeight="true" outlineLevel="0" collapsed="false">
      <c r="B32" s="43" t="n">
        <v>45809</v>
      </c>
      <c r="C32" s="44" t="n">
        <v>1500.38</v>
      </c>
      <c r="D32" s="9" t="n">
        <f aca="false">IFERROR(C32/C31-1,"")</f>
        <v>0.00581212165903566</v>
      </c>
      <c r="E32" s="45" t="n">
        <v>25517.05</v>
      </c>
      <c r="F32" s="8" t="n">
        <f aca="false">IFERROR(E32/E31-1,"")</f>
        <v>0.0309627606491938</v>
      </c>
      <c r="G32" s="6"/>
    </row>
    <row r="33" customFormat="false" ht="15" hidden="false" customHeight="true" outlineLevel="0" collapsed="false">
      <c r="B33" s="43" t="n">
        <v>45839</v>
      </c>
      <c r="C33" s="44" t="n">
        <v>1395.23</v>
      </c>
      <c r="D33" s="9" t="n">
        <f aca="false">IFERROR(C33/C32-1,"")</f>
        <v>-0.0700822458310562</v>
      </c>
      <c r="E33" s="45" t="n">
        <v>24768.35</v>
      </c>
      <c r="F33" s="8" t="n">
        <f aca="false">IFERROR(E33/E32-1,"")</f>
        <v>-0.0293411660046911</v>
      </c>
      <c r="G33" s="6"/>
    </row>
    <row r="34" customFormat="false" ht="15" hidden="false" customHeight="true" outlineLevel="0" collapsed="false">
      <c r="B34" s="43" t="n">
        <v>45870</v>
      </c>
      <c r="C34" s="44" t="n">
        <v>1356.37</v>
      </c>
      <c r="D34" s="9" t="n">
        <f aca="false">IFERROR(C34/C33-1,"")</f>
        <v>-0.0278520387319654</v>
      </c>
      <c r="E34" s="45" t="n">
        <v>24426.85</v>
      </c>
      <c r="F34" s="8" t="n">
        <f aca="false">IFERROR(E34/E33-1,"")</f>
        <v>-0.013787757359695</v>
      </c>
      <c r="G34" s="6"/>
    </row>
    <row r="35" customFormat="false" ht="15" hidden="false" customHeight="true" outlineLevel="0" collapsed="false">
      <c r="B35" s="43" t="n">
        <v>45901</v>
      </c>
      <c r="C35" s="44" t="n">
        <v>1362.95</v>
      </c>
      <c r="D35" s="9" t="n">
        <f aca="false">IFERROR(C35/C34-1,"")</f>
        <v>0.00485118367407145</v>
      </c>
      <c r="E35" s="45" t="n">
        <v>24611.1</v>
      </c>
      <c r="F35" s="8" t="n">
        <f aca="false">IFERROR(E35/E34-1,"")</f>
        <v>0.00754292919471822</v>
      </c>
      <c r="G35" s="6"/>
    </row>
    <row r="36" customFormat="false" ht="15" hidden="false" customHeight="true" outlineLevel="0" collapsed="false">
      <c r="B36" s="43" t="n">
        <v>45931</v>
      </c>
      <c r="C36" s="44" t="n">
        <v>1446.44</v>
      </c>
      <c r="D36" s="9" t="n">
        <f aca="false">IFERROR(C36/C35-1,"")</f>
        <v>0.061256832605745</v>
      </c>
      <c r="E36" s="45" t="n">
        <v>25722.1</v>
      </c>
      <c r="F36" s="8" t="n">
        <f aca="false">IFERROR(E36/E35-1,"")</f>
        <v>0.0451422325698567</v>
      </c>
      <c r="G36" s="6"/>
    </row>
    <row r="37" customFormat="false" ht="15" hidden="false" customHeight="true" outlineLevel="0" collapsed="false">
      <c r="B37" s="43" t="n">
        <v>45962</v>
      </c>
      <c r="C37" s="44" t="n">
        <v>1438.54</v>
      </c>
      <c r="D37" s="9" t="n">
        <f aca="false">IFERROR(C37/C36-1,"")</f>
        <v>-0.00546168524100554</v>
      </c>
      <c r="E37" s="45" t="n">
        <v>26202.95</v>
      </c>
      <c r="F37" s="8" t="n">
        <f aca="false">IFERROR(E37/E36-1,"")</f>
        <v>0.0186940413107795</v>
      </c>
      <c r="G37" s="6"/>
    </row>
    <row r="38" customFormat="false" ht="15" hidden="false" customHeight="true" outlineLevel="0" collapsed="false">
      <c r="B38" s="43" t="n">
        <v>45992</v>
      </c>
      <c r="C38" s="44" t="n">
        <v>1386.32</v>
      </c>
      <c r="D38" s="9" t="n">
        <f aca="false">IFERROR(C38/C37-1,"")</f>
        <v>-0.0363006937589501</v>
      </c>
      <c r="E38" s="45" t="n">
        <v>26129.6</v>
      </c>
      <c r="F38" s="8" t="n">
        <f aca="false">IFERROR(E38/E37-1,"")</f>
        <v>-0.00279930313189936</v>
      </c>
      <c r="G38" s="6"/>
    </row>
    <row r="39" customFormat="false" ht="15" hidden="false" customHeight="true" outlineLevel="0" collapsed="false">
      <c r="B39" s="43" t="n">
        <v>46023</v>
      </c>
      <c r="C39" s="44" t="n">
        <v>1474.28</v>
      </c>
      <c r="D39" s="9" t="n">
        <f aca="false">IFERROR(C39/C38-1,"")</f>
        <v>0.0634485544463039</v>
      </c>
      <c r="E39" s="45" t="n">
        <v>25320.65</v>
      </c>
      <c r="F39" s="8" t="n">
        <f aca="false">IFERROR(E39/E38-1,"")</f>
        <v>-0.0309591421223439</v>
      </c>
      <c r="G39" s="6"/>
    </row>
    <row r="40" customFormat="false" ht="15" hidden="false" customHeight="true" outlineLevel="0" collapsed="false">
      <c r="B40" s="43" t="n">
        <v>46054</v>
      </c>
      <c r="C40" s="44" t="n">
        <v>1665.28</v>
      </c>
      <c r="D40" s="9" t="n">
        <f aca="false">IFERROR(C40/C39-1,"")</f>
        <v>0.129554765716146</v>
      </c>
      <c r="E40" s="45" t="n">
        <v>25178.65</v>
      </c>
      <c r="F40" s="8" t="n">
        <f aca="false">IFERROR(E40/E39-1,"")</f>
        <v>-0.00560807088285653</v>
      </c>
      <c r="G40" s="6"/>
    </row>
    <row r="41" customFormat="false" ht="15" hidden="false" customHeight="true" outlineLevel="0" collapsed="false">
      <c r="B41" s="43" t="n">
        <v>46082</v>
      </c>
      <c r="C41" s="44" t="n">
        <v>1596.49</v>
      </c>
      <c r="D41" s="9" t="n">
        <f aca="false">IFERROR(C41/C40-1,"")</f>
        <v>-0.0413083685626441</v>
      </c>
      <c r="E41" s="45" t="n">
        <v>22331.4</v>
      </c>
      <c r="F41" s="8" t="n">
        <f aca="false">IFERROR(E41/E40-1,"")</f>
        <v>-0.113081916623806</v>
      </c>
      <c r="G41" s="6"/>
    </row>
    <row r="42" customFormat="false" ht="15" hidden="false" customHeight="true" outlineLevel="0" collapsed="false">
      <c r="B42" s="43" t="n">
        <v>46113</v>
      </c>
      <c r="C42" s="44" t="n">
        <v>1527.3</v>
      </c>
      <c r="D42" s="9" t="n">
        <f aca="false">IFERROR(C42/C41-1,"")</f>
        <v>-0.0433388245463486</v>
      </c>
      <c r="E42" s="45" t="n">
        <v>23997.55</v>
      </c>
      <c r="F42" s="8" t="n">
        <f aca="false">IFERROR(E42/E41-1,"")</f>
        <v>0.0746101901358625</v>
      </c>
      <c r="G42" s="6"/>
    </row>
    <row r="43" customFormat="false" ht="15" hidden="false" customHeight="true" outlineLevel="0" collapsed="false">
      <c r="B43" s="43" t="n">
        <v>46143</v>
      </c>
      <c r="C43" s="44" t="n">
        <v>1575.72</v>
      </c>
      <c r="D43" s="9" t="n">
        <f aca="false">IFERROR(C43/C42-1,"")</f>
        <v>0.0317030053034768</v>
      </c>
      <c r="E43" s="45" t="n">
        <v>23547.75</v>
      </c>
      <c r="F43" s="8" t="n">
        <f aca="false">IFERROR(E43/E42-1,"")</f>
        <v>-0.0187435800737992</v>
      </c>
      <c r="G43" s="6"/>
    </row>
    <row r="44" customFormat="false" ht="15" hidden="false" customHeight="true" outlineLevel="0" collapsed="false">
      <c r="B44" s="46" t="n">
        <v>46174</v>
      </c>
      <c r="C44" s="44" t="n">
        <v>1333.5</v>
      </c>
      <c r="D44" s="8" t="n">
        <f aca="false">IFERROR(C44/C43-1,"")</f>
        <v>-0.153720204097175</v>
      </c>
      <c r="E44" s="44" t="n">
        <v>23865.75</v>
      </c>
      <c r="F44" s="8" t="n">
        <f aca="false">IFERROR(E44/E43-1,"")</f>
        <v>0.0135044749498359</v>
      </c>
    </row>
    <row r="45" customFormat="false" ht="15" hidden="false" customHeight="true" outlineLevel="0" collapsed="false">
      <c r="B45" s="46" t="n">
        <v>46204</v>
      </c>
      <c r="C45" s="44" t="n">
        <v>1446.33</v>
      </c>
      <c r="D45" s="8" t="n">
        <f aca="false">IFERROR(C45/C44-1,"")</f>
        <v>0.0846119235095613</v>
      </c>
      <c r="E45" s="44" t="n">
        <v>24383.6</v>
      </c>
      <c r="F45" s="8" t="n">
        <f aca="false">IFERROR(E45/E44-1,"")</f>
        <v>0.0216984590888616</v>
      </c>
    </row>
    <row r="46" customFormat="false" ht="15" hidden="false" customHeight="true" outlineLevel="0" collapsed="false">
      <c r="B46" s="46" t="n">
        <v>46235</v>
      </c>
      <c r="C46" s="44" t="n">
        <v>1522.2</v>
      </c>
      <c r="D46" s="8" t="n">
        <f aca="false">IFERROR(C46/C45-1,"")</f>
        <v>0.052456908174483</v>
      </c>
      <c r="E46" s="44" t="n">
        <v>24080.4</v>
      </c>
      <c r="F46" s="8" t="n">
        <f aca="false">IFERROR(E46/E45-1,"")</f>
        <v>-0.0124345871815481</v>
      </c>
    </row>
    <row r="47" customFormat="false" ht="15" hidden="false" customHeight="true" outlineLevel="0" collapsed="false">
      <c r="B47" s="46" t="n">
        <v>46266</v>
      </c>
      <c r="C47" s="44" t="n">
        <v>1392</v>
      </c>
      <c r="D47" s="8" t="n">
        <f aca="false">IFERROR(C47/C46-1,"")</f>
        <v>-0.0855340953882539</v>
      </c>
      <c r="E47" s="44" t="n">
        <v>23063.1</v>
      </c>
      <c r="F47" s="8" t="n">
        <f aca="false">IFERROR(E47/E46-1,"")</f>
        <v>-0.0422459759804655</v>
      </c>
    </row>
  </sheetData>
  <mergeCells count="3">
    <mergeCell ref="B2:M2"/>
    <mergeCell ref="B6:M6"/>
    <mergeCell ref="B18:M20"/>
  </mergeCells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A5A5"/>
    <pageSetUpPr fitToPage="true"/>
  </sheetPr>
  <dimension ref="B2:M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4" min="3" style="1" width="16"/>
    <col collapsed="false" customWidth="true" hidden="false" outlineLevel="0" max="5" min="5" style="1" width="10.2"/>
    <col collapsed="false" customWidth="true" hidden="false" outlineLevel="0" max="7" min="6" style="1" width="16"/>
    <col collapsed="false" customWidth="true" hidden="false" outlineLevel="0" max="8" min="8" style="1" width="5"/>
    <col collapsed="false" customWidth="true" hidden="false" outlineLevel="0" max="9" min="9" style="1" width="24"/>
    <col collapsed="false" customWidth="true" hidden="false" outlineLevel="0" max="10" min="10" style="1" width="16"/>
    <col collapsed="false" customWidth="true" hidden="false" outlineLevel="0" max="12" min="11" style="1" width="14"/>
    <col collapsed="false" customWidth="true" hidden="false" outlineLevel="0" max="13" min="13" style="1" width="16"/>
  </cols>
  <sheetData>
    <row r="2" customFormat="false" ht="24" hidden="false" customHeight="true" outlineLevel="0" collapsed="false">
      <c r="B2" s="2" t="s">
        <v>212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true" outlineLevel="0" collapsed="false">
      <c r="B4" s="3" t="s">
        <v>195</v>
      </c>
    </row>
    <row r="6" customFormat="false" ht="15" hidden="false" customHeight="true" outlineLevel="0" collapsed="false">
      <c r="B6" s="4" t="s">
        <v>196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8" customFormat="false" ht="15" hidden="false" customHeight="true" outlineLevel="0" collapsed="false">
      <c r="B8" s="6" t="s">
        <v>108</v>
      </c>
      <c r="C8" s="6" t="s">
        <v>213</v>
      </c>
    </row>
    <row r="9" customFormat="false" ht="15" hidden="false" customHeight="true" outlineLevel="0" collapsed="false">
      <c r="B9" s="6" t="s">
        <v>198</v>
      </c>
      <c r="C9" s="28" t="n">
        <f aca="false">J23</f>
        <v>0.418147112819773</v>
      </c>
    </row>
    <row r="10" customFormat="false" ht="15" hidden="false" customHeight="true" outlineLevel="0" collapsed="false">
      <c r="B10" s="6" t="s">
        <v>199</v>
      </c>
      <c r="C10" s="6" t="s">
        <v>200</v>
      </c>
    </row>
    <row r="12" customFormat="false" ht="15" hidden="false" customHeight="true" outlineLevel="0" collapsed="false">
      <c r="B12" s="6" t="s">
        <v>201</v>
      </c>
      <c r="C12" s="42" t="n">
        <v>0.75</v>
      </c>
    </row>
    <row r="13" customFormat="false" ht="15" hidden="false" customHeight="true" outlineLevel="0" collapsed="false">
      <c r="B13" s="6" t="s">
        <v>202</v>
      </c>
      <c r="C13" s="27" t="n">
        <v>1</v>
      </c>
    </row>
    <row r="14" customFormat="false" ht="15" hidden="false" customHeight="true" outlineLevel="0" collapsed="false">
      <c r="B14" s="6" t="s">
        <v>203</v>
      </c>
      <c r="C14" s="42" t="n">
        <f aca="false">1-C12</f>
        <v>0.25</v>
      </c>
    </row>
    <row r="15" customFormat="false" ht="15" hidden="false" customHeight="true" outlineLevel="0" collapsed="false">
      <c r="B15" s="6" t="s">
        <v>204</v>
      </c>
      <c r="C15" s="27" t="n">
        <f aca="false">C9*C12+C13*C14</f>
        <v>0.56361033461483</v>
      </c>
    </row>
    <row r="18" customFormat="false" ht="15" hidden="false" customHeight="true" outlineLevel="0" collapsed="false">
      <c r="B18" s="19" t="s">
        <v>205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</row>
    <row r="19" customFormat="false" ht="15" hidden="false" customHeight="true" outlineLevel="0" collapsed="false"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</row>
    <row r="20" customFormat="false" ht="15" hidden="false" customHeight="true" outlineLevel="0" collapsed="false"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</row>
    <row r="23" customFormat="false" ht="32.25" hidden="false" customHeight="true" outlineLevel="0" collapsed="false">
      <c r="B23" s="5" t="s">
        <v>206</v>
      </c>
      <c r="C23" s="5" t="s">
        <v>207</v>
      </c>
      <c r="D23" s="5" t="s">
        <v>208</v>
      </c>
      <c r="E23" s="5" t="s">
        <v>209</v>
      </c>
      <c r="F23" s="5" t="s">
        <v>210</v>
      </c>
      <c r="G23" s="5"/>
      <c r="I23" s="6" t="s">
        <v>211</v>
      </c>
      <c r="J23" s="6" t="n">
        <f aca="false">IFERROR(SLOPE(D25:D47,F25:F47),"")</f>
        <v>0.418147112819773</v>
      </c>
    </row>
    <row r="24" customFormat="false" ht="15" hidden="false" customHeight="true" outlineLevel="0" collapsed="false">
      <c r="B24" s="43" t="n">
        <v>45566</v>
      </c>
      <c r="C24" s="44" t="n">
        <v>4229.31</v>
      </c>
      <c r="E24" s="45" t="n">
        <v>24205.35</v>
      </c>
    </row>
    <row r="25" customFormat="false" ht="15" hidden="false" customHeight="true" outlineLevel="0" collapsed="false">
      <c r="B25" s="43" t="n">
        <v>45597</v>
      </c>
      <c r="C25" s="44" t="n">
        <v>4580.23</v>
      </c>
      <c r="D25" s="9" t="n">
        <f aca="false">IFERROR(C25/C24-1,"")</f>
        <v>0.0829733455339048</v>
      </c>
      <c r="E25" s="45" t="n">
        <v>24131.1</v>
      </c>
      <c r="F25" s="8" t="n">
        <f aca="false">IFERROR(E25/E24-1,"")</f>
        <v>-0.00306750367170894</v>
      </c>
      <c r="G25" s="6"/>
    </row>
    <row r="26" customFormat="false" ht="15" hidden="false" customHeight="true" outlineLevel="0" collapsed="false">
      <c r="B26" s="43" t="n">
        <v>45627</v>
      </c>
      <c r="C26" s="44" t="n">
        <v>4628.93</v>
      </c>
      <c r="D26" s="9" t="n">
        <f aca="false">IFERROR(C26/C25-1,"")</f>
        <v>0.0106326538186949</v>
      </c>
      <c r="E26" s="45" t="n">
        <v>23644.8</v>
      </c>
      <c r="F26" s="8" t="n">
        <f aca="false">IFERROR(E26/E25-1,"")</f>
        <v>-0.0201524174198441</v>
      </c>
      <c r="G26" s="6"/>
    </row>
    <row r="27" customFormat="false" ht="15" hidden="false" customHeight="true" outlineLevel="0" collapsed="false">
      <c r="B27" s="43" t="n">
        <v>45658</v>
      </c>
      <c r="C27" s="44" t="n">
        <v>3908.33</v>
      </c>
      <c r="D27" s="9" t="n">
        <f aca="false">IFERROR(C27/C26-1,"")</f>
        <v>-0.155673125322699</v>
      </c>
      <c r="E27" s="45" t="n">
        <v>23508.4</v>
      </c>
      <c r="F27" s="8" t="n">
        <f aca="false">IFERROR(E27/E26-1,"")</f>
        <v>-0.00576871024495862</v>
      </c>
      <c r="G27" s="6"/>
    </row>
    <row r="28" customFormat="false" ht="15" hidden="false" customHeight="true" outlineLevel="0" collapsed="false">
      <c r="B28" s="43" t="n">
        <v>45689</v>
      </c>
      <c r="C28" s="44" t="n">
        <v>3278.28</v>
      </c>
      <c r="D28" s="9" t="n">
        <f aca="false">IFERROR(C28/C27-1,"")</f>
        <v>-0.161206960517663</v>
      </c>
      <c r="E28" s="45" t="n">
        <v>22124.7</v>
      </c>
      <c r="F28" s="8" t="n">
        <f aca="false">IFERROR(E28/E27-1,"")</f>
        <v>-0.0588598118119481</v>
      </c>
      <c r="G28" s="6"/>
    </row>
    <row r="29" customFormat="false" ht="15" hidden="false" customHeight="true" outlineLevel="0" collapsed="false">
      <c r="B29" s="43" t="n">
        <v>45717</v>
      </c>
      <c r="C29" s="44" t="n">
        <v>3374.04</v>
      </c>
      <c r="D29" s="9" t="n">
        <f aca="false">IFERROR(C29/C28-1,"")</f>
        <v>0.0292104396207766</v>
      </c>
      <c r="E29" s="45" t="n">
        <v>23519.35</v>
      </c>
      <c r="F29" s="8" t="n">
        <f aca="false">IFERROR(E29/E28-1,"")</f>
        <v>0.0630358829724245</v>
      </c>
      <c r="G29" s="6"/>
    </row>
    <row r="30" customFormat="false" ht="15" hidden="false" customHeight="true" outlineLevel="0" collapsed="false">
      <c r="B30" s="43" t="n">
        <v>45748</v>
      </c>
      <c r="C30" s="44" t="n">
        <v>3485.08</v>
      </c>
      <c r="D30" s="9" t="n">
        <f aca="false">IFERROR(C30/C29-1,"")</f>
        <v>0.0329101018363742</v>
      </c>
      <c r="E30" s="45" t="n">
        <v>24334.2</v>
      </c>
      <c r="F30" s="8" t="n">
        <f aca="false">IFERROR(E30/E29-1,"")</f>
        <v>0.0346459404702937</v>
      </c>
      <c r="G30" s="6"/>
    </row>
    <row r="31" customFormat="false" ht="15" hidden="false" customHeight="true" outlineLevel="0" collapsed="false">
      <c r="B31" s="43" t="n">
        <v>45778</v>
      </c>
      <c r="C31" s="44" t="n">
        <v>4083.02</v>
      </c>
      <c r="D31" s="9" t="n">
        <f aca="false">IFERROR(C31/C30-1,"")</f>
        <v>0.171571384301078</v>
      </c>
      <c r="E31" s="45" t="n">
        <v>24750.7</v>
      </c>
      <c r="F31" s="8" t="n">
        <f aca="false">IFERROR(E31/E30-1,"")</f>
        <v>0.0171158287513047</v>
      </c>
      <c r="G31" s="6"/>
    </row>
    <row r="32" customFormat="false" ht="15" hidden="false" customHeight="true" outlineLevel="0" collapsed="false">
      <c r="B32" s="43" t="n">
        <v>45809</v>
      </c>
      <c r="C32" s="44" t="n">
        <v>4347.98</v>
      </c>
      <c r="D32" s="9" t="n">
        <f aca="false">IFERROR(C32/C31-1,"")</f>
        <v>0.0648931428207551</v>
      </c>
      <c r="E32" s="45" t="n">
        <v>25517.05</v>
      </c>
      <c r="F32" s="8" t="n">
        <f aca="false">IFERROR(E32/E31-1,"")</f>
        <v>0.0309627606491938</v>
      </c>
      <c r="G32" s="6"/>
    </row>
    <row r="33" customFormat="false" ht="15" hidden="false" customHeight="true" outlineLevel="0" collapsed="false">
      <c r="B33" s="43" t="n">
        <v>45839</v>
      </c>
      <c r="C33" s="44" t="n">
        <v>4264.32</v>
      </c>
      <c r="D33" s="9" t="n">
        <f aca="false">IFERROR(C33/C32-1,"")</f>
        <v>-0.0192411188643922</v>
      </c>
      <c r="E33" s="45" t="n">
        <v>24768.35</v>
      </c>
      <c r="F33" s="8" t="n">
        <f aca="false">IFERROR(E33/E32-1,"")</f>
        <v>-0.0293411660046911</v>
      </c>
      <c r="G33" s="6"/>
    </row>
    <row r="34" customFormat="false" ht="15" hidden="false" customHeight="true" outlineLevel="0" collapsed="false">
      <c r="B34" s="43" t="n">
        <v>45870</v>
      </c>
      <c r="C34" s="44" t="n">
        <v>4427</v>
      </c>
      <c r="D34" s="9" t="n">
        <f aca="false">IFERROR(C34/C33-1,"")</f>
        <v>0.0381491070088549</v>
      </c>
      <c r="E34" s="45" t="n">
        <v>24426.85</v>
      </c>
      <c r="F34" s="8" t="n">
        <f aca="false">IFERROR(E34/E33-1,"")</f>
        <v>-0.013787757359695</v>
      </c>
      <c r="G34" s="6"/>
    </row>
    <row r="35" customFormat="false" ht="15" hidden="false" customHeight="true" outlineLevel="0" collapsed="false">
      <c r="B35" s="43" t="n">
        <v>45901</v>
      </c>
      <c r="C35" s="44" t="n">
        <v>4177.88</v>
      </c>
      <c r="D35" s="9" t="n">
        <f aca="false">IFERROR(C35/C34-1,"")</f>
        <v>-0.0562728710187486</v>
      </c>
      <c r="E35" s="45" t="n">
        <v>24611.1</v>
      </c>
      <c r="F35" s="8" t="n">
        <f aca="false">IFERROR(E35/E34-1,"")</f>
        <v>0.00754292919471822</v>
      </c>
      <c r="G35" s="6"/>
    </row>
    <row r="36" customFormat="false" ht="15" hidden="false" customHeight="true" outlineLevel="0" collapsed="false">
      <c r="B36" s="43" t="n">
        <v>45931</v>
      </c>
      <c r="C36" s="44" t="n">
        <v>3774.81</v>
      </c>
      <c r="D36" s="9" t="n">
        <f aca="false">IFERROR(C36/C35-1,"")</f>
        <v>-0.0964771606652178</v>
      </c>
      <c r="E36" s="45" t="n">
        <v>25722.1</v>
      </c>
      <c r="F36" s="8" t="n">
        <f aca="false">IFERROR(E36/E35-1,"")</f>
        <v>0.0451422325698567</v>
      </c>
      <c r="G36" s="6"/>
    </row>
    <row r="37" customFormat="false" ht="15" hidden="false" customHeight="true" outlineLevel="0" collapsed="false">
      <c r="B37" s="43" t="n">
        <v>45962</v>
      </c>
      <c r="C37" s="44" t="n">
        <v>3367.79</v>
      </c>
      <c r="D37" s="9" t="n">
        <f aca="false">IFERROR(C37/C36-1,"")</f>
        <v>-0.107825294518135</v>
      </c>
      <c r="E37" s="45" t="n">
        <v>26202.95</v>
      </c>
      <c r="F37" s="8" t="n">
        <f aca="false">IFERROR(E37/E36-1,"")</f>
        <v>0.0186940413107795</v>
      </c>
      <c r="G37" s="6"/>
    </row>
    <row r="38" customFormat="false" ht="15" hidden="false" customHeight="true" outlineLevel="0" collapsed="false">
      <c r="B38" s="43" t="n">
        <v>45992</v>
      </c>
      <c r="C38" s="44" t="n">
        <v>3330.25</v>
      </c>
      <c r="D38" s="9" t="n">
        <f aca="false">IFERROR(C38/C37-1,"")</f>
        <v>-0.0111467757787748</v>
      </c>
      <c r="E38" s="45" t="n">
        <v>26129.6</v>
      </c>
      <c r="F38" s="8" t="n">
        <f aca="false">IFERROR(E38/E37-1,"")</f>
        <v>-0.00279930313189936</v>
      </c>
      <c r="G38" s="6"/>
    </row>
    <row r="39" customFormat="false" ht="15" hidden="false" customHeight="true" outlineLevel="0" collapsed="false">
      <c r="B39" s="43" t="n">
        <v>46023</v>
      </c>
      <c r="C39" s="44" t="n">
        <v>3488.83</v>
      </c>
      <c r="D39" s="9" t="n">
        <f aca="false">IFERROR(C39/C38-1,"")</f>
        <v>0.0476180466931913</v>
      </c>
      <c r="E39" s="45" t="n">
        <v>25320.65</v>
      </c>
      <c r="F39" s="8" t="n">
        <f aca="false">IFERROR(E39/E38-1,"")</f>
        <v>-0.0309591421223439</v>
      </c>
      <c r="G39" s="6"/>
    </row>
    <row r="40" customFormat="false" ht="15" hidden="false" customHeight="true" outlineLevel="0" collapsed="false">
      <c r="B40" s="43" t="n">
        <v>46054</v>
      </c>
      <c r="C40" s="44" t="n">
        <v>3947.29</v>
      </c>
      <c r="D40" s="9" t="n">
        <f aca="false">IFERROR(C40/C39-1,"")</f>
        <v>0.131407950516362</v>
      </c>
      <c r="E40" s="45" t="n">
        <v>25178.65</v>
      </c>
      <c r="F40" s="8" t="n">
        <f aca="false">IFERROR(E40/E39-1,"")</f>
        <v>-0.00560807088285653</v>
      </c>
      <c r="G40" s="6"/>
    </row>
    <row r="41" customFormat="false" ht="15" hidden="false" customHeight="true" outlineLevel="0" collapsed="false">
      <c r="B41" s="43" t="n">
        <v>46082</v>
      </c>
      <c r="C41" s="44" t="n">
        <v>3718.8</v>
      </c>
      <c r="D41" s="9" t="n">
        <f aca="false">IFERROR(C41/C40-1,"")</f>
        <v>-0.0578852833209619</v>
      </c>
      <c r="E41" s="45" t="n">
        <v>22331.4</v>
      </c>
      <c r="F41" s="8" t="n">
        <f aca="false">IFERROR(E41/E40-1,"")</f>
        <v>-0.113081916623806</v>
      </c>
      <c r="G41" s="6"/>
    </row>
    <row r="42" customFormat="false" ht="15" hidden="false" customHeight="true" outlineLevel="0" collapsed="false">
      <c r="B42" s="43" t="n">
        <v>46113</v>
      </c>
      <c r="C42" s="44" t="n">
        <v>3597.16</v>
      </c>
      <c r="D42" s="9" t="n">
        <f aca="false">IFERROR(C42/C41-1,"")</f>
        <v>-0.0327094761751103</v>
      </c>
      <c r="E42" s="45" t="n">
        <v>23997.55</v>
      </c>
      <c r="F42" s="8" t="n">
        <f aca="false">IFERROR(E42/E41-1,"")</f>
        <v>0.0746101901358625</v>
      </c>
      <c r="G42" s="6"/>
    </row>
    <row r="43" customFormat="false" ht="15" hidden="false" customHeight="true" outlineLevel="0" collapsed="false">
      <c r="B43" s="43" t="n">
        <v>46143</v>
      </c>
      <c r="C43" s="44" t="n">
        <v>3524.08</v>
      </c>
      <c r="D43" s="9" t="n">
        <f aca="false">IFERROR(C43/C42-1,"")</f>
        <v>-0.0203160270880361</v>
      </c>
      <c r="E43" s="45" t="n">
        <v>23547.75</v>
      </c>
      <c r="F43" s="8" t="n">
        <f aca="false">IFERROR(E43/E42-1,"")</f>
        <v>-0.0187435800737992</v>
      </c>
      <c r="G43" s="6"/>
    </row>
    <row r="44" customFormat="false" ht="15" hidden="false" customHeight="true" outlineLevel="0" collapsed="false">
      <c r="B44" s="46" t="n">
        <v>46174</v>
      </c>
      <c r="C44" s="44" t="n">
        <v>3157.8</v>
      </c>
      <c r="D44" s="8" t="n">
        <f aca="false">IFERROR(C44/C43-1,"")</f>
        <v>-0.103936346507457</v>
      </c>
      <c r="E44" s="44" t="n">
        <v>23865.75</v>
      </c>
      <c r="F44" s="8" t="n">
        <f aca="false">IFERROR(E44/E43-1,"")</f>
        <v>0.0135044749498359</v>
      </c>
    </row>
    <row r="45" customFormat="false" ht="15" hidden="false" customHeight="true" outlineLevel="0" collapsed="false">
      <c r="B45" s="46" t="n">
        <v>46204</v>
      </c>
      <c r="C45" s="44" t="n">
        <v>3465.4</v>
      </c>
      <c r="D45" s="8" t="n">
        <f aca="false">IFERROR(C45/C44-1,"")</f>
        <v>0.0974095889543352</v>
      </c>
      <c r="E45" s="44" t="n">
        <v>24383.6</v>
      </c>
      <c r="F45" s="8" t="n">
        <f aca="false">IFERROR(E45/E44-1,"")</f>
        <v>0.0216984590888616</v>
      </c>
    </row>
    <row r="46" customFormat="false" ht="15" hidden="false" customHeight="true" outlineLevel="0" collapsed="false">
      <c r="B46" s="46" t="n">
        <v>46235</v>
      </c>
      <c r="C46" s="44" t="n">
        <v>3559</v>
      </c>
      <c r="D46" s="8" t="n">
        <f aca="false">IFERROR(C46/C45-1,"")</f>
        <v>0.0270098689905927</v>
      </c>
      <c r="E46" s="44" t="n">
        <v>24080.4</v>
      </c>
      <c r="F46" s="8" t="n">
        <f aca="false">IFERROR(E46/E45-1,"")</f>
        <v>-0.0124345871815481</v>
      </c>
    </row>
    <row r="47" customFormat="false" ht="15" hidden="false" customHeight="true" outlineLevel="0" collapsed="false">
      <c r="B47" s="46" t="n">
        <v>46266</v>
      </c>
      <c r="C47" s="44" t="n">
        <v>3434</v>
      </c>
      <c r="D47" s="8" t="n">
        <f aca="false">IFERROR(C47/C46-1,"")</f>
        <v>-0.0351222253441978</v>
      </c>
      <c r="E47" s="44" t="n">
        <v>23063.1</v>
      </c>
      <c r="F47" s="8" t="n">
        <f aca="false">IFERROR(E47/E46-1,"")</f>
        <v>-0.0422459759804655</v>
      </c>
    </row>
  </sheetData>
  <mergeCells count="3">
    <mergeCell ref="B2:M2"/>
    <mergeCell ref="B6:M6"/>
    <mergeCell ref="B18:M20"/>
  </mergeCells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A5A5"/>
    <pageSetUpPr fitToPage="true"/>
  </sheetPr>
  <dimension ref="B2:M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4" min="3" style="1" width="16"/>
    <col collapsed="false" customWidth="true" hidden="false" outlineLevel="0" max="5" min="5" style="1" width="10.2"/>
    <col collapsed="false" customWidth="true" hidden="false" outlineLevel="0" max="7" min="6" style="1" width="16"/>
    <col collapsed="false" customWidth="true" hidden="false" outlineLevel="0" max="8" min="8" style="1" width="5"/>
    <col collapsed="false" customWidth="true" hidden="false" outlineLevel="0" max="9" min="9" style="1" width="24"/>
    <col collapsed="false" customWidth="true" hidden="false" outlineLevel="0" max="10" min="10" style="1" width="16"/>
    <col collapsed="false" customWidth="true" hidden="false" outlineLevel="0" max="12" min="11" style="1" width="14"/>
    <col collapsed="false" customWidth="true" hidden="false" outlineLevel="0" max="13" min="13" style="1" width="16"/>
  </cols>
  <sheetData>
    <row r="2" customFormat="false" ht="24" hidden="false" customHeight="true" outlineLevel="0" collapsed="false">
      <c r="B2" s="2" t="s">
        <v>214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true" outlineLevel="0" collapsed="false">
      <c r="B4" s="3" t="s">
        <v>195</v>
      </c>
    </row>
    <row r="6" customFormat="false" ht="15" hidden="false" customHeight="true" outlineLevel="0" collapsed="false">
      <c r="B6" s="4" t="s">
        <v>196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8" customFormat="false" ht="15" hidden="false" customHeight="true" outlineLevel="0" collapsed="false">
      <c r="B8" s="6" t="s">
        <v>108</v>
      </c>
      <c r="C8" s="6" t="s">
        <v>215</v>
      </c>
    </row>
    <row r="9" customFormat="false" ht="15" hidden="false" customHeight="true" outlineLevel="0" collapsed="false">
      <c r="B9" s="6" t="s">
        <v>198</v>
      </c>
      <c r="C9" s="28" t="n">
        <f aca="false">J23</f>
        <v>1.17659285420962</v>
      </c>
    </row>
    <row r="10" customFormat="false" ht="15" hidden="false" customHeight="true" outlineLevel="0" collapsed="false">
      <c r="B10" s="6" t="s">
        <v>199</v>
      </c>
      <c r="C10" s="6" t="s">
        <v>200</v>
      </c>
    </row>
    <row r="12" customFormat="false" ht="15" hidden="false" customHeight="true" outlineLevel="0" collapsed="false">
      <c r="B12" s="6" t="s">
        <v>201</v>
      </c>
      <c r="C12" s="42" t="n">
        <v>0.75</v>
      </c>
    </row>
    <row r="13" customFormat="false" ht="15" hidden="false" customHeight="true" outlineLevel="0" collapsed="false">
      <c r="B13" s="6" t="s">
        <v>202</v>
      </c>
      <c r="C13" s="27" t="n">
        <v>1</v>
      </c>
    </row>
    <row r="14" customFormat="false" ht="15" hidden="false" customHeight="true" outlineLevel="0" collapsed="false">
      <c r="B14" s="6" t="s">
        <v>203</v>
      </c>
      <c r="C14" s="42" t="n">
        <f aca="false">1-C12</f>
        <v>0.25</v>
      </c>
    </row>
    <row r="15" customFormat="false" ht="15" hidden="false" customHeight="true" outlineLevel="0" collapsed="false">
      <c r="B15" s="6" t="s">
        <v>204</v>
      </c>
      <c r="C15" s="27" t="n">
        <f aca="false">C9*C12+C13*C14</f>
        <v>1.13244464065721</v>
      </c>
    </row>
    <row r="18" customFormat="false" ht="15" hidden="false" customHeight="true" outlineLevel="0" collapsed="false">
      <c r="B18" s="19" t="s">
        <v>205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</row>
    <row r="19" customFormat="false" ht="15" hidden="false" customHeight="true" outlineLevel="0" collapsed="false"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</row>
    <row r="20" customFormat="false" ht="15" hidden="false" customHeight="true" outlineLevel="0" collapsed="false"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</row>
    <row r="23" customFormat="false" ht="32.25" hidden="false" customHeight="true" outlineLevel="0" collapsed="false">
      <c r="B23" s="5" t="s">
        <v>206</v>
      </c>
      <c r="C23" s="5" t="s">
        <v>207</v>
      </c>
      <c r="D23" s="5" t="s">
        <v>208</v>
      </c>
      <c r="E23" s="5" t="s">
        <v>209</v>
      </c>
      <c r="F23" s="5" t="s">
        <v>210</v>
      </c>
      <c r="G23" s="5"/>
      <c r="I23" s="6" t="s">
        <v>211</v>
      </c>
      <c r="J23" s="6" t="n">
        <f aca="false">IFERROR(SLOPE(D25:D47,F25:F47),"")</f>
        <v>1.17659285420962</v>
      </c>
    </row>
    <row r="24" customFormat="false" ht="15" hidden="false" customHeight="true" outlineLevel="0" collapsed="false">
      <c r="B24" s="43" t="n">
        <v>45566</v>
      </c>
      <c r="C24" s="44" t="n">
        <v>2874.37</v>
      </c>
      <c r="E24" s="45" t="n">
        <v>24205.35</v>
      </c>
    </row>
    <row r="25" customFormat="false" ht="15" hidden="false" customHeight="true" outlineLevel="0" collapsed="false">
      <c r="B25" s="43" t="n">
        <v>45597</v>
      </c>
      <c r="C25" s="44" t="n">
        <v>2432</v>
      </c>
      <c r="D25" s="9" t="n">
        <f aca="false">IFERROR(C25/C24-1,"")</f>
        <v>-0.153901550600653</v>
      </c>
      <c r="E25" s="45" t="n">
        <v>24131.1</v>
      </c>
      <c r="F25" s="8" t="n">
        <f aca="false">IFERROR(E25/E24-1,"")</f>
        <v>-0.00306750367170894</v>
      </c>
      <c r="G25" s="6"/>
    </row>
    <row r="26" customFormat="false" ht="15" hidden="false" customHeight="true" outlineLevel="0" collapsed="false">
      <c r="B26" s="43" t="n">
        <v>45627</v>
      </c>
      <c r="C26" s="44" t="n">
        <v>2237.56</v>
      </c>
      <c r="D26" s="9" t="n">
        <f aca="false">IFERROR(C26/C25-1,"")</f>
        <v>-0.0799506578947369</v>
      </c>
      <c r="E26" s="45" t="n">
        <v>23644.8</v>
      </c>
      <c r="F26" s="8" t="n">
        <f aca="false">IFERROR(E26/E25-1,"")</f>
        <v>-0.0201524174198441</v>
      </c>
      <c r="G26" s="6"/>
    </row>
    <row r="27" customFormat="false" ht="15" hidden="false" customHeight="true" outlineLevel="0" collapsed="false">
      <c r="B27" s="43" t="n">
        <v>45658</v>
      </c>
      <c r="C27" s="44" t="n">
        <v>2256.64</v>
      </c>
      <c r="D27" s="9" t="n">
        <f aca="false">IFERROR(C27/C26-1,"")</f>
        <v>0.00852714564078716</v>
      </c>
      <c r="E27" s="45" t="n">
        <v>23508.4</v>
      </c>
      <c r="F27" s="8" t="n">
        <f aca="false">IFERROR(E27/E26-1,"")</f>
        <v>-0.00576871024495862</v>
      </c>
      <c r="G27" s="6"/>
    </row>
    <row r="28" customFormat="false" ht="15" hidden="false" customHeight="true" outlineLevel="0" collapsed="false">
      <c r="B28" s="43" t="n">
        <v>45689</v>
      </c>
      <c r="C28" s="44" t="n">
        <v>2137.91</v>
      </c>
      <c r="D28" s="9" t="n">
        <f aca="false">IFERROR(C28/C27-1,"")</f>
        <v>-0.0526136202495746</v>
      </c>
      <c r="E28" s="45" t="n">
        <v>22124.7</v>
      </c>
      <c r="F28" s="8" t="n">
        <f aca="false">IFERROR(E28/E27-1,"")</f>
        <v>-0.0588598118119481</v>
      </c>
      <c r="G28" s="6"/>
    </row>
    <row r="29" customFormat="false" ht="15" hidden="false" customHeight="true" outlineLevel="0" collapsed="false">
      <c r="B29" s="43" t="n">
        <v>45717</v>
      </c>
      <c r="C29" s="44" t="n">
        <v>2295.72</v>
      </c>
      <c r="D29" s="9" t="n">
        <f aca="false">IFERROR(C29/C28-1,"")</f>
        <v>0.0738150810838623</v>
      </c>
      <c r="E29" s="45" t="n">
        <v>23519.35</v>
      </c>
      <c r="F29" s="8" t="n">
        <f aca="false">IFERROR(E29/E28-1,"")</f>
        <v>0.0630358829724245</v>
      </c>
      <c r="G29" s="6"/>
    </row>
    <row r="30" customFormat="false" ht="15" hidden="false" customHeight="true" outlineLevel="0" collapsed="false">
      <c r="B30" s="43" t="n">
        <v>45748</v>
      </c>
      <c r="C30" s="44" t="n">
        <v>2379.14</v>
      </c>
      <c r="D30" s="9" t="n">
        <f aca="false">IFERROR(C30/C29-1,"")</f>
        <v>0.03633718397714</v>
      </c>
      <c r="E30" s="45" t="n">
        <v>24334.2</v>
      </c>
      <c r="F30" s="8" t="n">
        <f aca="false">IFERROR(E30/E29-1,"")</f>
        <v>0.0346459404702937</v>
      </c>
      <c r="G30" s="6"/>
    </row>
    <row r="31" customFormat="false" ht="15" hidden="false" customHeight="true" outlineLevel="0" collapsed="false">
      <c r="B31" s="43" t="n">
        <v>45778</v>
      </c>
      <c r="C31" s="44" t="n">
        <v>2215.74</v>
      </c>
      <c r="D31" s="9" t="n">
        <f aca="false">IFERROR(C31/C30-1,"")</f>
        <v>-0.0686802794287011</v>
      </c>
      <c r="E31" s="45" t="n">
        <v>24750.7</v>
      </c>
      <c r="F31" s="8" t="n">
        <f aca="false">IFERROR(E31/E30-1,"")</f>
        <v>0.0171158287513047</v>
      </c>
      <c r="G31" s="6"/>
    </row>
    <row r="32" customFormat="false" ht="15" hidden="false" customHeight="true" outlineLevel="0" collapsed="false">
      <c r="B32" s="43" t="n">
        <v>45809</v>
      </c>
      <c r="C32" s="44" t="n">
        <v>2317.35</v>
      </c>
      <c r="D32" s="9" t="n">
        <f aca="false">IFERROR(C32/C31-1,"")</f>
        <v>0.0458582685694171</v>
      </c>
      <c r="E32" s="45" t="n">
        <v>25517.05</v>
      </c>
      <c r="F32" s="8" t="n">
        <f aca="false">IFERROR(E32/E31-1,"")</f>
        <v>0.0309627606491938</v>
      </c>
      <c r="G32" s="6"/>
    </row>
    <row r="33" customFormat="false" ht="15" hidden="false" customHeight="true" outlineLevel="0" collapsed="false">
      <c r="B33" s="43" t="n">
        <v>45839</v>
      </c>
      <c r="C33" s="44" t="n">
        <v>2371.79</v>
      </c>
      <c r="D33" s="9" t="n">
        <f aca="false">IFERROR(C33/C32-1,"")</f>
        <v>0.0234923511769909</v>
      </c>
      <c r="E33" s="45" t="n">
        <v>24768.35</v>
      </c>
      <c r="F33" s="8" t="n">
        <f aca="false">IFERROR(E33/E32-1,"")</f>
        <v>-0.0293411660046911</v>
      </c>
      <c r="G33" s="6"/>
    </row>
    <row r="34" customFormat="false" ht="15" hidden="false" customHeight="true" outlineLevel="0" collapsed="false">
      <c r="B34" s="43" t="n">
        <v>45870</v>
      </c>
      <c r="C34" s="44" t="n">
        <v>2493.05</v>
      </c>
      <c r="D34" s="9" t="n">
        <f aca="false">IFERROR(C34/C33-1,"")</f>
        <v>0.0511259428532882</v>
      </c>
      <c r="E34" s="45" t="n">
        <v>24426.85</v>
      </c>
      <c r="F34" s="8" t="n">
        <f aca="false">IFERROR(E34/E33-1,"")</f>
        <v>-0.013787757359695</v>
      </c>
      <c r="G34" s="6"/>
    </row>
    <row r="35" customFormat="false" ht="15" hidden="false" customHeight="true" outlineLevel="0" collapsed="false">
      <c r="B35" s="43" t="n">
        <v>45901</v>
      </c>
      <c r="C35" s="44" t="n">
        <v>2326.16</v>
      </c>
      <c r="D35" s="9" t="n">
        <f aca="false">IFERROR(C35/C34-1,"")</f>
        <v>-0.0669420990353183</v>
      </c>
      <c r="E35" s="45" t="n">
        <v>24611.1</v>
      </c>
      <c r="F35" s="8" t="n">
        <f aca="false">IFERROR(E35/E34-1,"")</f>
        <v>0.00754292919471822</v>
      </c>
      <c r="G35" s="6"/>
    </row>
    <row r="36" customFormat="false" ht="15" hidden="false" customHeight="true" outlineLevel="0" collapsed="false">
      <c r="B36" s="43" t="n">
        <v>45931</v>
      </c>
      <c r="C36" s="44" t="n">
        <v>2485.32</v>
      </c>
      <c r="D36" s="9" t="n">
        <f aca="false">IFERROR(C36/C35-1,"")</f>
        <v>0.0684217766619666</v>
      </c>
      <c r="E36" s="45" t="n">
        <v>25722.1</v>
      </c>
      <c r="F36" s="8" t="n">
        <f aca="false">IFERROR(E36/E35-1,"")</f>
        <v>0.0451422325698567</v>
      </c>
      <c r="G36" s="6"/>
    </row>
    <row r="37" customFormat="false" ht="15" hidden="false" customHeight="true" outlineLevel="0" collapsed="false">
      <c r="B37" s="43" t="n">
        <v>45962</v>
      </c>
      <c r="C37" s="44" t="n">
        <v>2849.68</v>
      </c>
      <c r="D37" s="9" t="n">
        <f aca="false">IFERROR(C37/C36-1,"")</f>
        <v>0.146604863759999</v>
      </c>
      <c r="E37" s="45" t="n">
        <v>26202.95</v>
      </c>
      <c r="F37" s="8" t="n">
        <f aca="false">IFERROR(E37/E36-1,"")</f>
        <v>0.0186940413107795</v>
      </c>
      <c r="G37" s="6"/>
    </row>
    <row r="38" customFormat="false" ht="15" hidden="false" customHeight="true" outlineLevel="0" collapsed="false">
      <c r="B38" s="43" t="n">
        <v>45992</v>
      </c>
      <c r="C38" s="44" t="n">
        <v>2745.68</v>
      </c>
      <c r="D38" s="9" t="n">
        <f aca="false">IFERROR(C38/C37-1,"")</f>
        <v>-0.036495325790966</v>
      </c>
      <c r="E38" s="45" t="n">
        <v>26129.6</v>
      </c>
      <c r="F38" s="8" t="n">
        <f aca="false">IFERROR(E38/E37-1,"")</f>
        <v>-0.00279930313189936</v>
      </c>
      <c r="G38" s="6"/>
    </row>
    <row r="39" customFormat="false" ht="15" hidden="false" customHeight="true" outlineLevel="0" collapsed="false">
      <c r="B39" s="43" t="n">
        <v>46023</v>
      </c>
      <c r="C39" s="44" t="n">
        <v>2407.41</v>
      </c>
      <c r="D39" s="9" t="n">
        <f aca="false">IFERROR(C39/C38-1,"")</f>
        <v>-0.123200809999709</v>
      </c>
      <c r="E39" s="45" t="n">
        <v>25320.65</v>
      </c>
      <c r="F39" s="8" t="n">
        <f aca="false">IFERROR(E39/E38-1,"")</f>
        <v>-0.0309591421223439</v>
      </c>
      <c r="G39" s="6"/>
    </row>
    <row r="40" customFormat="false" ht="15" hidden="false" customHeight="true" outlineLevel="0" collapsed="false">
      <c r="B40" s="43" t="n">
        <v>46054</v>
      </c>
      <c r="C40" s="44" t="n">
        <v>2355.76</v>
      </c>
      <c r="D40" s="9" t="n">
        <f aca="false">IFERROR(C40/C39-1,"")</f>
        <v>-0.0214545922796697</v>
      </c>
      <c r="E40" s="45" t="n">
        <v>25178.65</v>
      </c>
      <c r="F40" s="8" t="n">
        <f aca="false">IFERROR(E40/E39-1,"")</f>
        <v>-0.00560807088285653</v>
      </c>
      <c r="G40" s="6"/>
    </row>
    <row r="41" customFormat="false" ht="15" hidden="false" customHeight="true" outlineLevel="0" collapsed="false">
      <c r="B41" s="43" t="n">
        <v>46082</v>
      </c>
      <c r="C41" s="44" t="n">
        <v>2146.58</v>
      </c>
      <c r="D41" s="9" t="n">
        <f aca="false">IFERROR(C41/C40-1,"")</f>
        <v>-0.0887951234421165</v>
      </c>
      <c r="E41" s="45" t="n">
        <v>22331.4</v>
      </c>
      <c r="F41" s="8" t="n">
        <f aca="false">IFERROR(E41/E40-1,"")</f>
        <v>-0.113081916623806</v>
      </c>
      <c r="G41" s="6"/>
    </row>
    <row r="42" customFormat="false" ht="15" hidden="false" customHeight="true" outlineLevel="0" collapsed="false">
      <c r="B42" s="43" t="n">
        <v>46113</v>
      </c>
      <c r="C42" s="44" t="n">
        <v>2423.47</v>
      </c>
      <c r="D42" s="9" t="n">
        <f aca="false">IFERROR(C42/C41-1,"")</f>
        <v>0.12899123256529</v>
      </c>
      <c r="E42" s="45" t="n">
        <v>23997.55</v>
      </c>
      <c r="F42" s="8" t="n">
        <f aca="false">IFERROR(E42/E41-1,"")</f>
        <v>0.0746101901358625</v>
      </c>
      <c r="G42" s="6"/>
    </row>
    <row r="43" customFormat="false" ht="15" hidden="false" customHeight="true" outlineLevel="0" collapsed="false">
      <c r="B43" s="43" t="n">
        <v>46143</v>
      </c>
      <c r="C43" s="44" t="n">
        <v>2648.62</v>
      </c>
      <c r="D43" s="9" t="n">
        <f aca="false">IFERROR(C43/C42-1,"")</f>
        <v>0.0929039765295219</v>
      </c>
      <c r="E43" s="45" t="n">
        <v>23547.75</v>
      </c>
      <c r="F43" s="8" t="n">
        <f aca="false">IFERROR(E43/E42-1,"")</f>
        <v>-0.0187435800737992</v>
      </c>
      <c r="G43" s="6"/>
    </row>
    <row r="44" customFormat="false" ht="15" hidden="false" customHeight="true" outlineLevel="0" collapsed="false">
      <c r="B44" s="46" t="n">
        <v>46174</v>
      </c>
      <c r="C44" s="44" t="n">
        <v>2635.7</v>
      </c>
      <c r="D44" s="8" t="n">
        <f aca="false">IFERROR(C44/C43-1,"")</f>
        <v>-0.00487801194584347</v>
      </c>
      <c r="E44" s="44" t="n">
        <v>23865.75</v>
      </c>
      <c r="F44" s="8" t="n">
        <f aca="false">IFERROR(E44/E43-1,"")</f>
        <v>0.0135044749498359</v>
      </c>
    </row>
    <row r="45" customFormat="false" ht="15" hidden="false" customHeight="true" outlineLevel="0" collapsed="false">
      <c r="B45" s="46" t="n">
        <v>46204</v>
      </c>
      <c r="C45" s="44" t="n">
        <v>2747.3</v>
      </c>
      <c r="D45" s="8" t="n">
        <f aca="false">IFERROR(C45/C44-1,"")</f>
        <v>0.0423416929089049</v>
      </c>
      <c r="E45" s="44" t="n">
        <v>24383.6</v>
      </c>
      <c r="F45" s="8" t="n">
        <f aca="false">IFERROR(E45/E44-1,"")</f>
        <v>0.0216984590888616</v>
      </c>
    </row>
    <row r="46" customFormat="false" ht="15" hidden="false" customHeight="true" outlineLevel="0" collapsed="false">
      <c r="B46" s="46" t="n">
        <v>46235</v>
      </c>
      <c r="C46" s="44" t="n">
        <v>2653.6</v>
      </c>
      <c r="D46" s="8" t="n">
        <f aca="false">IFERROR(C46/C45-1,"")</f>
        <v>-0.0341062133731301</v>
      </c>
      <c r="E46" s="44" t="n">
        <v>24080.4</v>
      </c>
      <c r="F46" s="8" t="n">
        <f aca="false">IFERROR(E46/E45-1,"")</f>
        <v>-0.0124345871815481</v>
      </c>
    </row>
    <row r="47" customFormat="false" ht="15" hidden="false" customHeight="true" outlineLevel="0" collapsed="false">
      <c r="B47" s="46" t="n">
        <v>46266</v>
      </c>
      <c r="C47" s="44" t="n">
        <v>2392.7</v>
      </c>
      <c r="D47" s="8" t="n">
        <f aca="false">IFERROR(C47/C46-1,"")</f>
        <v>-0.0983192643955382</v>
      </c>
      <c r="E47" s="44" t="n">
        <v>23063.1</v>
      </c>
      <c r="F47" s="8" t="n">
        <f aca="false">IFERROR(E47/E46-1,"")</f>
        <v>-0.0422459759804655</v>
      </c>
    </row>
  </sheetData>
  <mergeCells count="3">
    <mergeCell ref="B2:M2"/>
    <mergeCell ref="B6:M6"/>
    <mergeCell ref="B18:M20"/>
  </mergeCells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A5A5"/>
    <pageSetUpPr fitToPage="true"/>
  </sheetPr>
  <dimension ref="B2:M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4" min="3" style="1" width="16"/>
    <col collapsed="false" customWidth="true" hidden="false" outlineLevel="0" max="5" min="5" style="1" width="10.2"/>
    <col collapsed="false" customWidth="true" hidden="false" outlineLevel="0" max="7" min="6" style="1" width="16"/>
    <col collapsed="false" customWidth="true" hidden="false" outlineLevel="0" max="8" min="8" style="1" width="5"/>
    <col collapsed="false" customWidth="true" hidden="false" outlineLevel="0" max="9" min="9" style="1" width="24"/>
    <col collapsed="false" customWidth="true" hidden="false" outlineLevel="0" max="10" min="10" style="1" width="16"/>
    <col collapsed="false" customWidth="true" hidden="false" outlineLevel="0" max="12" min="11" style="1" width="14"/>
    <col collapsed="false" customWidth="true" hidden="false" outlineLevel="0" max="13" min="13" style="1" width="16"/>
  </cols>
  <sheetData>
    <row r="2" customFormat="false" ht="24" hidden="false" customHeight="true" outlineLevel="0" collapsed="false">
      <c r="B2" s="2" t="s">
        <v>216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true" outlineLevel="0" collapsed="false">
      <c r="B4" s="3" t="s">
        <v>195</v>
      </c>
    </row>
    <row r="6" customFormat="false" ht="15" hidden="false" customHeight="true" outlineLevel="0" collapsed="false">
      <c r="B6" s="4" t="s">
        <v>196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8" customFormat="false" ht="15" hidden="false" customHeight="true" outlineLevel="0" collapsed="false">
      <c r="B8" s="6" t="s">
        <v>108</v>
      </c>
      <c r="C8" s="6" t="s">
        <v>217</v>
      </c>
    </row>
    <row r="9" customFormat="false" ht="15" hidden="false" customHeight="true" outlineLevel="0" collapsed="false">
      <c r="B9" s="6" t="s">
        <v>198</v>
      </c>
      <c r="C9" s="28" t="n">
        <f aca="false">J23</f>
        <v>1.18579525901248</v>
      </c>
    </row>
    <row r="10" customFormat="false" ht="15" hidden="false" customHeight="true" outlineLevel="0" collapsed="false">
      <c r="B10" s="6" t="s">
        <v>199</v>
      </c>
      <c r="C10" s="6" t="s">
        <v>200</v>
      </c>
    </row>
    <row r="12" customFormat="false" ht="15" hidden="false" customHeight="true" outlineLevel="0" collapsed="false">
      <c r="B12" s="6" t="s">
        <v>201</v>
      </c>
      <c r="C12" s="42" t="n">
        <v>0.75</v>
      </c>
    </row>
    <row r="13" customFormat="false" ht="15" hidden="false" customHeight="true" outlineLevel="0" collapsed="false">
      <c r="B13" s="6" t="s">
        <v>202</v>
      </c>
      <c r="C13" s="27" t="n">
        <v>1</v>
      </c>
    </row>
    <row r="14" customFormat="false" ht="15" hidden="false" customHeight="true" outlineLevel="0" collapsed="false">
      <c r="B14" s="6" t="s">
        <v>203</v>
      </c>
      <c r="C14" s="42" t="n">
        <f aca="false">1-C12</f>
        <v>0.25</v>
      </c>
    </row>
    <row r="15" customFormat="false" ht="15" hidden="false" customHeight="true" outlineLevel="0" collapsed="false">
      <c r="B15" s="6" t="s">
        <v>204</v>
      </c>
      <c r="C15" s="27" t="n">
        <f aca="false">C9*C12+C13*C14</f>
        <v>1.13934644425936</v>
      </c>
    </row>
    <row r="18" customFormat="false" ht="15" hidden="false" customHeight="true" outlineLevel="0" collapsed="false">
      <c r="B18" s="19" t="s">
        <v>205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</row>
    <row r="19" customFormat="false" ht="15" hidden="false" customHeight="true" outlineLevel="0" collapsed="false"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</row>
    <row r="20" customFormat="false" ht="15" hidden="false" customHeight="true" outlineLevel="0" collapsed="false"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</row>
    <row r="23" customFormat="false" ht="32.25" hidden="false" customHeight="true" outlineLevel="0" collapsed="false">
      <c r="B23" s="5" t="s">
        <v>206</v>
      </c>
      <c r="C23" s="5" t="s">
        <v>207</v>
      </c>
      <c r="D23" s="5" t="s">
        <v>208</v>
      </c>
      <c r="E23" s="5" t="s">
        <v>209</v>
      </c>
      <c r="F23" s="5" t="s">
        <v>210</v>
      </c>
      <c r="G23" s="5"/>
      <c r="I23" s="6" t="s">
        <v>211</v>
      </c>
      <c r="J23" s="6" t="n">
        <f aca="false">IFERROR(SLOPE(D25:D47,F25:F47),"")</f>
        <v>1.18579525901248</v>
      </c>
    </row>
    <row r="24" customFormat="false" ht="15" hidden="false" customHeight="true" outlineLevel="0" collapsed="false">
      <c r="B24" s="43" t="n">
        <v>45566</v>
      </c>
      <c r="C24" s="44" t="n">
        <v>529.23</v>
      </c>
      <c r="E24" s="45" t="n">
        <v>24205.35</v>
      </c>
    </row>
    <row r="25" customFormat="false" ht="15" hidden="false" customHeight="true" outlineLevel="0" collapsed="false">
      <c r="B25" s="43" t="n">
        <v>45597</v>
      </c>
      <c r="C25" s="44" t="n">
        <v>486.73</v>
      </c>
      <c r="D25" s="9" t="n">
        <f aca="false">IFERROR(C25/C24-1,"")</f>
        <v>-0.080305349281031</v>
      </c>
      <c r="E25" s="45" t="n">
        <v>24131.1</v>
      </c>
      <c r="F25" s="8" t="n">
        <f aca="false">IFERROR(E25/E24-1,"")</f>
        <v>-0.00306750367170894</v>
      </c>
      <c r="G25" s="6"/>
    </row>
    <row r="26" customFormat="false" ht="15" hidden="false" customHeight="true" outlineLevel="0" collapsed="false">
      <c r="B26" s="43" t="n">
        <v>45627</v>
      </c>
      <c r="C26" s="44" t="n">
        <v>442.22</v>
      </c>
      <c r="D26" s="9" t="n">
        <f aca="false">IFERROR(C26/C25-1,"")</f>
        <v>-0.0914470034721509</v>
      </c>
      <c r="E26" s="45" t="n">
        <v>23644.8</v>
      </c>
      <c r="F26" s="8" t="n">
        <f aca="false">IFERROR(E26/E25-1,"")</f>
        <v>-0.0201524174198441</v>
      </c>
      <c r="G26" s="6"/>
    </row>
    <row r="27" customFormat="false" ht="15" hidden="false" customHeight="true" outlineLevel="0" collapsed="false">
      <c r="B27" s="43" t="n">
        <v>45658</v>
      </c>
      <c r="C27" s="44" t="n">
        <v>466.08</v>
      </c>
      <c r="D27" s="9" t="n">
        <f aca="false">IFERROR(C27/C26-1,"")</f>
        <v>0.053955045000226</v>
      </c>
      <c r="E27" s="45" t="n">
        <v>23508.4</v>
      </c>
      <c r="F27" s="8" t="n">
        <f aca="false">IFERROR(E27/E26-1,"")</f>
        <v>-0.00576871024495862</v>
      </c>
      <c r="G27" s="6"/>
    </row>
    <row r="28" customFormat="false" ht="15" hidden="false" customHeight="true" outlineLevel="0" collapsed="false">
      <c r="B28" s="43" t="n">
        <v>45689</v>
      </c>
      <c r="C28" s="44" t="n">
        <v>481.66</v>
      </c>
      <c r="D28" s="9" t="n">
        <f aca="false">IFERROR(C28/C27-1,"")</f>
        <v>0.0334277377274288</v>
      </c>
      <c r="E28" s="45" t="n">
        <v>22124.7</v>
      </c>
      <c r="F28" s="8" t="n">
        <f aca="false">IFERROR(E28/E27-1,"")</f>
        <v>-0.0588598118119481</v>
      </c>
      <c r="G28" s="6"/>
    </row>
    <row r="29" customFormat="false" ht="15" hidden="false" customHeight="true" outlineLevel="0" collapsed="false">
      <c r="B29" s="43" t="n">
        <v>45717</v>
      </c>
      <c r="C29" s="44" t="n">
        <v>493.14</v>
      </c>
      <c r="D29" s="9" t="n">
        <f aca="false">IFERROR(C29/C28-1,"")</f>
        <v>0.0238342399202756</v>
      </c>
      <c r="E29" s="45" t="n">
        <v>23519.35</v>
      </c>
      <c r="F29" s="8" t="n">
        <f aca="false">IFERROR(E29/E28-1,"")</f>
        <v>0.0630358829724245</v>
      </c>
      <c r="G29" s="6"/>
    </row>
    <row r="30" customFormat="false" ht="15" hidden="false" customHeight="true" outlineLevel="0" collapsed="false">
      <c r="B30" s="43" t="n">
        <v>45748</v>
      </c>
      <c r="C30" s="44" t="n">
        <v>536.52</v>
      </c>
      <c r="D30" s="9" t="n">
        <f aca="false">IFERROR(C30/C29-1,"")</f>
        <v>0.0879669059496289</v>
      </c>
      <c r="E30" s="45" t="n">
        <v>24334.2</v>
      </c>
      <c r="F30" s="8" t="n">
        <f aca="false">IFERROR(E30/E29-1,"")</f>
        <v>0.0346459404702937</v>
      </c>
      <c r="G30" s="6"/>
    </row>
    <row r="31" customFormat="false" ht="15" hidden="false" customHeight="true" outlineLevel="0" collapsed="false">
      <c r="B31" s="43" t="n">
        <v>45778</v>
      </c>
      <c r="C31" s="44" t="n">
        <v>560.28</v>
      </c>
      <c r="D31" s="9" t="n">
        <f aca="false">IFERROR(C31/C30-1,"")</f>
        <v>0.0442853947662716</v>
      </c>
      <c r="E31" s="45" t="n">
        <v>24750.7</v>
      </c>
      <c r="F31" s="8" t="n">
        <f aca="false">IFERROR(E31/E30-1,"")</f>
        <v>0.0171158287513047</v>
      </c>
      <c r="G31" s="6"/>
    </row>
    <row r="32" customFormat="false" ht="15" hidden="false" customHeight="true" outlineLevel="0" collapsed="false">
      <c r="B32" s="43" t="n">
        <v>45809</v>
      </c>
      <c r="C32" s="44" t="n">
        <v>584.29</v>
      </c>
      <c r="D32" s="9" t="n">
        <f aca="false">IFERROR(C32/C31-1,"")</f>
        <v>0.0428535732133932</v>
      </c>
      <c r="E32" s="45" t="n">
        <v>25517.05</v>
      </c>
      <c r="F32" s="8" t="n">
        <f aca="false">IFERROR(E32/E31-1,"")</f>
        <v>0.0309627606491938</v>
      </c>
      <c r="G32" s="6"/>
    </row>
    <row r="33" customFormat="false" ht="15" hidden="false" customHeight="true" outlineLevel="0" collapsed="false">
      <c r="B33" s="43" t="n">
        <v>45839</v>
      </c>
      <c r="C33" s="44" t="n">
        <v>556.93</v>
      </c>
      <c r="D33" s="9" t="n">
        <f aca="false">IFERROR(C33/C32-1,"")</f>
        <v>-0.0468260624005203</v>
      </c>
      <c r="E33" s="45" t="n">
        <v>24768.35</v>
      </c>
      <c r="F33" s="8" t="n">
        <f aca="false">IFERROR(E33/E32-1,"")</f>
        <v>-0.0293411660046911</v>
      </c>
      <c r="G33" s="6"/>
    </row>
    <row r="34" customFormat="false" ht="15" hidden="false" customHeight="true" outlineLevel="0" collapsed="false">
      <c r="B34" s="43" t="n">
        <v>45870</v>
      </c>
      <c r="C34" s="44" t="n">
        <v>529.01</v>
      </c>
      <c r="D34" s="9" t="n">
        <f aca="false">IFERROR(C34/C33-1,"")</f>
        <v>-0.0501319734975669</v>
      </c>
      <c r="E34" s="45" t="n">
        <v>24426.85</v>
      </c>
      <c r="F34" s="8" t="n">
        <f aca="false">IFERROR(E34/E33-1,"")</f>
        <v>-0.013787757359695</v>
      </c>
      <c r="G34" s="6"/>
    </row>
    <row r="35" customFormat="false" ht="15" hidden="false" customHeight="true" outlineLevel="0" collapsed="false">
      <c r="B35" s="43" t="n">
        <v>45901</v>
      </c>
      <c r="C35" s="44" t="n">
        <v>511.34</v>
      </c>
      <c r="D35" s="9" t="n">
        <f aca="false">IFERROR(C35/C34-1,"")</f>
        <v>-0.033402015084781</v>
      </c>
      <c r="E35" s="45" t="n">
        <v>24611.1</v>
      </c>
      <c r="F35" s="8" t="n">
        <f aca="false">IFERROR(E35/E34-1,"")</f>
        <v>0.00754292919471822</v>
      </c>
      <c r="G35" s="6"/>
    </row>
    <row r="36" customFormat="false" ht="15" hidden="false" customHeight="true" outlineLevel="0" collapsed="false">
      <c r="B36" s="43" t="n">
        <v>45931</v>
      </c>
      <c r="C36" s="44" t="n">
        <v>538.04</v>
      </c>
      <c r="D36" s="9" t="n">
        <f aca="false">IFERROR(C36/C35-1,"")</f>
        <v>0.0522157468611881</v>
      </c>
      <c r="E36" s="45" t="n">
        <v>25722.1</v>
      </c>
      <c r="F36" s="8" t="n">
        <f aca="false">IFERROR(E36/E35-1,"")</f>
        <v>0.0451422325698567</v>
      </c>
      <c r="G36" s="6"/>
    </row>
    <row r="37" customFormat="false" ht="15" hidden="false" customHeight="true" outlineLevel="0" collapsed="false">
      <c r="B37" s="43" t="n">
        <v>45962</v>
      </c>
      <c r="C37" s="44" t="n">
        <v>560.37</v>
      </c>
      <c r="D37" s="9" t="n">
        <f aca="false">IFERROR(C37/C36-1,"")</f>
        <v>0.041502490521151</v>
      </c>
      <c r="E37" s="45" t="n">
        <v>26202.95</v>
      </c>
      <c r="F37" s="8" t="n">
        <f aca="false">IFERROR(E37/E36-1,"")</f>
        <v>0.0186940413107795</v>
      </c>
      <c r="G37" s="6"/>
    </row>
    <row r="38" customFormat="false" ht="15" hidden="false" customHeight="true" outlineLevel="0" collapsed="false">
      <c r="B38" s="43" t="n">
        <v>45992</v>
      </c>
      <c r="C38" s="44" t="n">
        <v>532.53</v>
      </c>
      <c r="D38" s="9" t="n">
        <f aca="false">IFERROR(C38/C37-1,"")</f>
        <v>-0.0496814604636223</v>
      </c>
      <c r="E38" s="45" t="n">
        <v>26129.6</v>
      </c>
      <c r="F38" s="8" t="n">
        <f aca="false">IFERROR(E38/E37-1,"")</f>
        <v>-0.00279930313189936</v>
      </c>
      <c r="G38" s="6"/>
    </row>
    <row r="39" customFormat="false" ht="15" hidden="false" customHeight="true" outlineLevel="0" collapsed="false">
      <c r="B39" s="43" t="n">
        <v>46023</v>
      </c>
      <c r="C39" s="44" t="n">
        <v>459.43</v>
      </c>
      <c r="D39" s="9" t="n">
        <f aca="false">IFERROR(C39/C38-1,"")</f>
        <v>-0.137269261825625</v>
      </c>
      <c r="E39" s="45" t="n">
        <v>25320.65</v>
      </c>
      <c r="F39" s="8" t="n">
        <f aca="false">IFERROR(E39/E38-1,"")</f>
        <v>-0.0309591421223439</v>
      </c>
      <c r="G39" s="6"/>
    </row>
    <row r="40" customFormat="false" ht="15" hidden="false" customHeight="true" outlineLevel="0" collapsed="false">
      <c r="B40" s="43" t="n">
        <v>46054</v>
      </c>
      <c r="C40" s="44" t="n">
        <v>452.68</v>
      </c>
      <c r="D40" s="9" t="n">
        <f aca="false">IFERROR(C40/C39-1,"")</f>
        <v>-0.0146921184946565</v>
      </c>
      <c r="E40" s="45" t="n">
        <v>25178.65</v>
      </c>
      <c r="F40" s="8" t="n">
        <f aca="false">IFERROR(E40/E39-1,"")</f>
        <v>-0.00560807088285653</v>
      </c>
      <c r="G40" s="6"/>
    </row>
    <row r="41" customFormat="false" ht="15" hidden="false" customHeight="true" outlineLevel="0" collapsed="false">
      <c r="B41" s="43" t="n">
        <v>46082</v>
      </c>
      <c r="C41" s="44" t="n">
        <v>406.93</v>
      </c>
      <c r="D41" s="9" t="n">
        <f aca="false">IFERROR(C41/C40-1,"")</f>
        <v>-0.101064769815322</v>
      </c>
      <c r="E41" s="45" t="n">
        <v>22331.4</v>
      </c>
      <c r="F41" s="8" t="n">
        <f aca="false">IFERROR(E41/E40-1,"")</f>
        <v>-0.113081916623806</v>
      </c>
      <c r="G41" s="6"/>
    </row>
    <row r="42" customFormat="false" ht="15" hidden="false" customHeight="true" outlineLevel="0" collapsed="false">
      <c r="B42" s="43" t="n">
        <v>46113</v>
      </c>
      <c r="C42" s="44" t="n">
        <v>469.55</v>
      </c>
      <c r="D42" s="9" t="n">
        <f aca="false">IFERROR(C42/C41-1,"")</f>
        <v>0.153883960386307</v>
      </c>
      <c r="E42" s="45" t="n">
        <v>23997.55</v>
      </c>
      <c r="F42" s="8" t="n">
        <f aca="false">IFERROR(E42/E41-1,"")</f>
        <v>0.0746101901358625</v>
      </c>
      <c r="G42" s="6"/>
    </row>
    <row r="43" customFormat="false" ht="15" hidden="false" customHeight="true" outlineLevel="0" collapsed="false">
      <c r="B43" s="43" t="n">
        <v>46143</v>
      </c>
      <c r="C43" s="44" t="n">
        <v>496.85</v>
      </c>
      <c r="D43" s="9" t="n">
        <f aca="false">IFERROR(C43/C42-1,"")</f>
        <v>0.0581407730806092</v>
      </c>
      <c r="E43" s="45" t="n">
        <v>23547.75</v>
      </c>
      <c r="F43" s="8" t="n">
        <f aca="false">IFERROR(E43/E42-1,"")</f>
        <v>-0.0187435800737992</v>
      </c>
      <c r="G43" s="6"/>
    </row>
    <row r="44" customFormat="false" ht="15" hidden="false" customHeight="true" outlineLevel="0" collapsed="false">
      <c r="B44" s="46" t="n">
        <v>46174</v>
      </c>
      <c r="C44" s="44" t="n">
        <v>506.28</v>
      </c>
      <c r="D44" s="8" t="n">
        <f aca="false">IFERROR(C44/C43-1,"")</f>
        <v>0.0189795712991847</v>
      </c>
      <c r="E44" s="44" t="n">
        <v>23865.75</v>
      </c>
      <c r="F44" s="8" t="n">
        <f aca="false">IFERROR(E44/E43-1,"")</f>
        <v>0.0135044749498359</v>
      </c>
    </row>
    <row r="45" customFormat="false" ht="15" hidden="false" customHeight="true" outlineLevel="0" collapsed="false">
      <c r="B45" s="46" t="n">
        <v>46204</v>
      </c>
      <c r="C45" s="44" t="n">
        <v>516.55</v>
      </c>
      <c r="D45" s="8" t="n">
        <f aca="false">IFERROR(C45/C44-1,"")</f>
        <v>0.0202852176661137</v>
      </c>
      <c r="E45" s="44" t="n">
        <v>24383.6</v>
      </c>
      <c r="F45" s="8" t="n">
        <f aca="false">IFERROR(E45/E44-1,"")</f>
        <v>0.0216984590888616</v>
      </c>
    </row>
    <row r="46" customFormat="false" ht="15" hidden="false" customHeight="true" outlineLevel="0" collapsed="false">
      <c r="B46" s="46" t="n">
        <v>46235</v>
      </c>
      <c r="C46" s="44" t="n">
        <v>497.75</v>
      </c>
      <c r="D46" s="8" t="n">
        <f aca="false">IFERROR(C46/C45-1,"")</f>
        <v>-0.036395315071145</v>
      </c>
      <c r="E46" s="44" t="n">
        <v>24080.4</v>
      </c>
      <c r="F46" s="8" t="n">
        <f aca="false">IFERROR(E46/E45-1,"")</f>
        <v>-0.0124345871815481</v>
      </c>
    </row>
    <row r="47" customFormat="false" ht="15" hidden="false" customHeight="true" outlineLevel="0" collapsed="false">
      <c r="B47" s="46" t="n">
        <v>46266</v>
      </c>
      <c r="C47" s="44" t="n">
        <v>449.4</v>
      </c>
      <c r="D47" s="8" t="n">
        <f aca="false">IFERROR(C47/C46-1,"")</f>
        <v>-0.0971371170266199</v>
      </c>
      <c r="E47" s="44" t="n">
        <v>23063.1</v>
      </c>
      <c r="F47" s="8" t="n">
        <f aca="false">IFERROR(E47/E46-1,"")</f>
        <v>-0.0422459759804655</v>
      </c>
    </row>
  </sheetData>
  <mergeCells count="3">
    <mergeCell ref="B2:M2"/>
    <mergeCell ref="B6:M6"/>
    <mergeCell ref="B18:M20"/>
  </mergeCells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A5A5"/>
    <pageSetUpPr fitToPage="true"/>
  </sheetPr>
  <dimension ref="B2:M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4" min="3" style="1" width="16"/>
    <col collapsed="false" customWidth="true" hidden="false" outlineLevel="0" max="5" min="5" style="1" width="10.2"/>
    <col collapsed="false" customWidth="true" hidden="false" outlineLevel="0" max="7" min="6" style="1" width="16"/>
    <col collapsed="false" customWidth="true" hidden="false" outlineLevel="0" max="8" min="8" style="1" width="5"/>
    <col collapsed="false" customWidth="true" hidden="false" outlineLevel="0" max="9" min="9" style="1" width="24"/>
    <col collapsed="false" customWidth="true" hidden="false" outlineLevel="0" max="10" min="10" style="1" width="16"/>
    <col collapsed="false" customWidth="true" hidden="false" outlineLevel="0" max="12" min="11" style="1" width="14"/>
    <col collapsed="false" customWidth="true" hidden="false" outlineLevel="0" max="13" min="13" style="1" width="16"/>
  </cols>
  <sheetData>
    <row r="2" customFormat="false" ht="24" hidden="false" customHeight="true" outlineLevel="0" collapsed="false">
      <c r="B2" s="2" t="s">
        <v>218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true" outlineLevel="0" collapsed="false">
      <c r="B4" s="3" t="s">
        <v>195</v>
      </c>
    </row>
    <row r="6" customFormat="false" ht="15" hidden="false" customHeight="true" outlineLevel="0" collapsed="false">
      <c r="B6" s="4" t="s">
        <v>196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8" customFormat="false" ht="15" hidden="false" customHeight="true" outlineLevel="0" collapsed="false">
      <c r="B8" s="6" t="s">
        <v>108</v>
      </c>
      <c r="C8" s="6" t="s">
        <v>219</v>
      </c>
    </row>
    <row r="9" customFormat="false" ht="15" hidden="false" customHeight="true" outlineLevel="0" collapsed="false">
      <c r="B9" s="6" t="s">
        <v>198</v>
      </c>
      <c r="C9" s="28" t="n">
        <f aca="false">J23</f>
        <v>1.20902243299637</v>
      </c>
    </row>
    <row r="10" customFormat="false" ht="15" hidden="false" customHeight="true" outlineLevel="0" collapsed="false">
      <c r="B10" s="6" t="s">
        <v>199</v>
      </c>
      <c r="C10" s="6" t="s">
        <v>200</v>
      </c>
    </row>
    <row r="12" customFormat="false" ht="15" hidden="false" customHeight="true" outlineLevel="0" collapsed="false">
      <c r="B12" s="6" t="s">
        <v>201</v>
      </c>
      <c r="C12" s="42" t="n">
        <v>0.75</v>
      </c>
    </row>
    <row r="13" customFormat="false" ht="15" hidden="false" customHeight="true" outlineLevel="0" collapsed="false">
      <c r="B13" s="6" t="s">
        <v>202</v>
      </c>
      <c r="C13" s="27" t="n">
        <v>1</v>
      </c>
    </row>
    <row r="14" customFormat="false" ht="15" hidden="false" customHeight="true" outlineLevel="0" collapsed="false">
      <c r="B14" s="6" t="s">
        <v>203</v>
      </c>
      <c r="C14" s="42" t="n">
        <f aca="false">1-C12</f>
        <v>0.25</v>
      </c>
    </row>
    <row r="15" customFormat="false" ht="15" hidden="false" customHeight="true" outlineLevel="0" collapsed="false">
      <c r="B15" s="6" t="s">
        <v>204</v>
      </c>
      <c r="C15" s="27" t="n">
        <f aca="false">C9*C12+C13*C14</f>
        <v>1.15676682474728</v>
      </c>
    </row>
    <row r="18" customFormat="false" ht="15" hidden="false" customHeight="true" outlineLevel="0" collapsed="false">
      <c r="B18" s="19" t="s">
        <v>205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</row>
    <row r="19" customFormat="false" ht="15" hidden="false" customHeight="true" outlineLevel="0" collapsed="false"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</row>
    <row r="20" customFormat="false" ht="15" hidden="false" customHeight="true" outlineLevel="0" collapsed="false"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</row>
    <row r="23" customFormat="false" ht="32.25" hidden="false" customHeight="true" outlineLevel="0" collapsed="false">
      <c r="B23" s="5" t="s">
        <v>206</v>
      </c>
      <c r="C23" s="5" t="s">
        <v>207</v>
      </c>
      <c r="D23" s="5" t="s">
        <v>208</v>
      </c>
      <c r="E23" s="5" t="s">
        <v>209</v>
      </c>
      <c r="F23" s="5" t="s">
        <v>210</v>
      </c>
      <c r="G23" s="5"/>
      <c r="I23" s="6" t="s">
        <v>211</v>
      </c>
      <c r="J23" s="6" t="n">
        <f aca="false">IFERROR(SLOPE(D25:D47,F25:F47),"")</f>
        <v>1.20902243299637</v>
      </c>
    </row>
    <row r="24" customFormat="false" ht="15" hidden="false" customHeight="true" outlineLevel="0" collapsed="false">
      <c r="B24" s="43" t="n">
        <v>45566</v>
      </c>
      <c r="C24" s="44" t="n">
        <v>277.34</v>
      </c>
      <c r="E24" s="45" t="n">
        <v>24205.35</v>
      </c>
    </row>
    <row r="25" customFormat="false" ht="15" hidden="false" customHeight="true" outlineLevel="0" collapsed="false">
      <c r="B25" s="43" t="n">
        <v>45597</v>
      </c>
      <c r="C25" s="44" t="n">
        <v>273.3</v>
      </c>
      <c r="D25" s="9" t="n">
        <f aca="false">IFERROR(C25/C24-1,"")</f>
        <v>-0.0145669575250593</v>
      </c>
      <c r="E25" s="45" t="n">
        <v>24131.1</v>
      </c>
      <c r="F25" s="8" t="n">
        <f aca="false">IFERROR(E25/E24-1,"")</f>
        <v>-0.00306750367170894</v>
      </c>
      <c r="G25" s="6"/>
    </row>
    <row r="26" customFormat="false" ht="15" hidden="false" customHeight="true" outlineLevel="0" collapsed="false">
      <c r="B26" s="43" t="n">
        <v>45627</v>
      </c>
      <c r="C26" s="44" t="n">
        <v>257.79</v>
      </c>
      <c r="D26" s="9" t="n">
        <f aca="false">IFERROR(C26/C25-1,"")</f>
        <v>-0.0567508232711306</v>
      </c>
      <c r="E26" s="45" t="n">
        <v>23644.8</v>
      </c>
      <c r="F26" s="8" t="n">
        <f aca="false">IFERROR(E26/E25-1,"")</f>
        <v>-0.0201524174198441</v>
      </c>
      <c r="G26" s="6"/>
    </row>
    <row r="27" customFormat="false" ht="15" hidden="false" customHeight="true" outlineLevel="0" collapsed="false">
      <c r="B27" s="43" t="n">
        <v>45658</v>
      </c>
      <c r="C27" s="44" t="n">
        <v>226.75</v>
      </c>
      <c r="D27" s="9" t="n">
        <f aca="false">IFERROR(C27/C26-1,"")</f>
        <v>-0.120408084099461</v>
      </c>
      <c r="E27" s="45" t="n">
        <v>23508.4</v>
      </c>
      <c r="F27" s="8" t="n">
        <f aca="false">IFERROR(E27/E26-1,"")</f>
        <v>-0.00576871024495862</v>
      </c>
      <c r="G27" s="6"/>
    </row>
    <row r="28" customFormat="false" ht="15" hidden="false" customHeight="true" outlineLevel="0" collapsed="false">
      <c r="B28" s="43" t="n">
        <v>45689</v>
      </c>
      <c r="C28" s="44" t="n">
        <v>220.49</v>
      </c>
      <c r="D28" s="9" t="n">
        <f aca="false">IFERROR(C28/C27-1,"")</f>
        <v>-0.0276074972436604</v>
      </c>
      <c r="E28" s="45" t="n">
        <v>22124.7</v>
      </c>
      <c r="F28" s="8" t="n">
        <f aca="false">IFERROR(E28/E27-1,"")</f>
        <v>-0.0588598118119481</v>
      </c>
      <c r="G28" s="6"/>
    </row>
    <row r="29" customFormat="false" ht="15" hidden="false" customHeight="true" outlineLevel="0" collapsed="false">
      <c r="B29" s="43" t="n">
        <v>45717</v>
      </c>
      <c r="C29" s="44" t="n">
        <v>226.56</v>
      </c>
      <c r="D29" s="9" t="n">
        <f aca="false">IFERROR(C29/C28-1,"")</f>
        <v>0.0275295931788289</v>
      </c>
      <c r="E29" s="45" t="n">
        <v>23519.35</v>
      </c>
      <c r="F29" s="8" t="n">
        <f aca="false">IFERROR(E29/E28-1,"")</f>
        <v>0.0630358829724245</v>
      </c>
      <c r="G29" s="6"/>
    </row>
    <row r="30" customFormat="false" ht="15" hidden="false" customHeight="true" outlineLevel="0" collapsed="false">
      <c r="B30" s="43" t="n">
        <v>45748</v>
      </c>
      <c r="C30" s="44" t="n">
        <v>250.17</v>
      </c>
      <c r="D30" s="9" t="n">
        <f aca="false">IFERROR(C30/C29-1,"")</f>
        <v>0.104210805084746</v>
      </c>
      <c r="E30" s="45" t="n">
        <v>24334.2</v>
      </c>
      <c r="F30" s="8" t="n">
        <f aca="false">IFERROR(E30/E29-1,"")</f>
        <v>0.0346459404702937</v>
      </c>
      <c r="G30" s="6"/>
    </row>
    <row r="31" customFormat="false" ht="15" hidden="false" customHeight="true" outlineLevel="0" collapsed="false">
      <c r="B31" s="43" t="n">
        <v>45778</v>
      </c>
      <c r="C31" s="44" t="n">
        <v>246.79</v>
      </c>
      <c r="D31" s="9" t="n">
        <f aca="false">IFERROR(C31/C30-1,"")</f>
        <v>-0.0135108126473997</v>
      </c>
      <c r="E31" s="45" t="n">
        <v>24750.7</v>
      </c>
      <c r="F31" s="8" t="n">
        <f aca="false">IFERROR(E31/E30-1,"")</f>
        <v>0.0171158287513047</v>
      </c>
      <c r="G31" s="6"/>
    </row>
    <row r="32" customFormat="false" ht="15" hidden="false" customHeight="true" outlineLevel="0" collapsed="false">
      <c r="B32" s="43" t="n">
        <v>45809</v>
      </c>
      <c r="C32" s="44" t="n">
        <v>249.18</v>
      </c>
      <c r="D32" s="9" t="n">
        <f aca="false">IFERROR(C32/C31-1,"")</f>
        <v>0.00968434701568133</v>
      </c>
      <c r="E32" s="45" t="n">
        <v>25517.05</v>
      </c>
      <c r="F32" s="8" t="n">
        <f aca="false">IFERROR(E32/E31-1,"")</f>
        <v>0.0309627606491938</v>
      </c>
      <c r="G32" s="6"/>
    </row>
    <row r="33" customFormat="false" ht="15" hidden="false" customHeight="true" outlineLevel="0" collapsed="false">
      <c r="B33" s="43" t="n">
        <v>45839</v>
      </c>
      <c r="C33" s="44" t="n">
        <v>242.02</v>
      </c>
      <c r="D33" s="9" t="n">
        <f aca="false">IFERROR(C33/C32-1,"")</f>
        <v>-0.0287342483345373</v>
      </c>
      <c r="E33" s="45" t="n">
        <v>24768.35</v>
      </c>
      <c r="F33" s="8" t="n">
        <f aca="false">IFERROR(E33/E32-1,"")</f>
        <v>-0.0293411660046911</v>
      </c>
      <c r="G33" s="6"/>
    </row>
    <row r="34" customFormat="false" ht="15" hidden="false" customHeight="true" outlineLevel="0" collapsed="false">
      <c r="B34" s="43" t="n">
        <v>45870</v>
      </c>
      <c r="C34" s="44" t="n">
        <v>237.17</v>
      </c>
      <c r="D34" s="9" t="n">
        <f aca="false">IFERROR(C34/C33-1,"")</f>
        <v>-0.020039666143294</v>
      </c>
      <c r="E34" s="45" t="n">
        <v>24426.85</v>
      </c>
      <c r="F34" s="8" t="n">
        <f aca="false">IFERROR(E34/E33-1,"")</f>
        <v>-0.013787757359695</v>
      </c>
      <c r="G34" s="6"/>
    </row>
    <row r="35" customFormat="false" ht="15" hidden="false" customHeight="true" outlineLevel="0" collapsed="false">
      <c r="B35" s="43" t="n">
        <v>45901</v>
      </c>
      <c r="C35" s="44" t="n">
        <v>244.47</v>
      </c>
      <c r="D35" s="9" t="n">
        <f aca="false">IFERROR(C35/C34-1,"")</f>
        <v>0.030779609562761</v>
      </c>
      <c r="E35" s="45" t="n">
        <v>24611.1</v>
      </c>
      <c r="F35" s="8" t="n">
        <f aca="false">IFERROR(E35/E34-1,"")</f>
        <v>0.00754292919471822</v>
      </c>
      <c r="G35" s="6"/>
    </row>
    <row r="36" customFormat="false" ht="15" hidden="false" customHeight="true" outlineLevel="0" collapsed="false">
      <c r="B36" s="43" t="n">
        <v>45931</v>
      </c>
      <c r="C36" s="44" t="n">
        <v>245.04</v>
      </c>
      <c r="D36" s="9" t="n">
        <f aca="false">IFERROR(C36/C35-1,"")</f>
        <v>0.00233157442630993</v>
      </c>
      <c r="E36" s="45" t="n">
        <v>25722.1</v>
      </c>
      <c r="F36" s="8" t="n">
        <f aca="false">IFERROR(E36/E35-1,"")</f>
        <v>0.0451422325698567</v>
      </c>
      <c r="G36" s="6"/>
    </row>
    <row r="37" customFormat="false" ht="15" hidden="false" customHeight="true" outlineLevel="0" collapsed="false">
      <c r="B37" s="43" t="n">
        <v>45962</v>
      </c>
      <c r="C37" s="44" t="n">
        <v>233.71</v>
      </c>
      <c r="D37" s="9" t="n">
        <f aca="false">IFERROR(C37/C36-1,"")</f>
        <v>-0.0462373490042441</v>
      </c>
      <c r="E37" s="45" t="n">
        <v>26202.95</v>
      </c>
      <c r="F37" s="8" t="n">
        <f aca="false">IFERROR(E37/E36-1,"")</f>
        <v>0.0186940413107795</v>
      </c>
      <c r="G37" s="6"/>
    </row>
    <row r="38" customFormat="false" ht="15" hidden="false" customHeight="true" outlineLevel="0" collapsed="false">
      <c r="B38" s="43" t="n">
        <v>45992</v>
      </c>
      <c r="C38" s="44" t="n">
        <v>232.68</v>
      </c>
      <c r="D38" s="9" t="n">
        <f aca="false">IFERROR(C38/C37-1,"")</f>
        <v>-0.00440717128064694</v>
      </c>
      <c r="E38" s="45" t="n">
        <v>26129.6</v>
      </c>
      <c r="F38" s="8" t="n">
        <f aca="false">IFERROR(E38/E37-1,"")</f>
        <v>-0.00279930313189936</v>
      </c>
      <c r="G38" s="6"/>
    </row>
    <row r="39" customFormat="false" ht="15" hidden="false" customHeight="true" outlineLevel="0" collapsed="false">
      <c r="B39" s="43" t="n">
        <v>46023</v>
      </c>
      <c r="C39" s="44" t="n">
        <v>227.48</v>
      </c>
      <c r="D39" s="9" t="n">
        <f aca="false">IFERROR(C39/C38-1,"")</f>
        <v>-0.022348289496304</v>
      </c>
      <c r="E39" s="45" t="n">
        <v>25320.65</v>
      </c>
      <c r="F39" s="8" t="n">
        <f aca="false">IFERROR(E39/E38-1,"")</f>
        <v>-0.0309591421223439</v>
      </c>
      <c r="G39" s="6"/>
    </row>
    <row r="40" customFormat="false" ht="15" hidden="false" customHeight="true" outlineLevel="0" collapsed="false">
      <c r="B40" s="43" t="n">
        <v>46054</v>
      </c>
      <c r="C40" s="44" t="n">
        <v>201.11</v>
      </c>
      <c r="D40" s="9" t="n">
        <f aca="false">IFERROR(C40/C39-1,"")</f>
        <v>-0.11592227888166</v>
      </c>
      <c r="E40" s="45" t="n">
        <v>25178.65</v>
      </c>
      <c r="F40" s="8" t="n">
        <f aca="false">IFERROR(E40/E39-1,"")</f>
        <v>-0.00560807088285653</v>
      </c>
      <c r="G40" s="6"/>
    </row>
    <row r="41" customFormat="false" ht="15" hidden="false" customHeight="true" outlineLevel="0" collapsed="false">
      <c r="B41" s="43" t="n">
        <v>46082</v>
      </c>
      <c r="C41" s="44" t="n">
        <v>165.25</v>
      </c>
      <c r="D41" s="9" t="n">
        <f aca="false">IFERROR(C41/C40-1,"")</f>
        <v>-0.1783103774054</v>
      </c>
      <c r="E41" s="45" t="n">
        <v>22331.4</v>
      </c>
      <c r="F41" s="8" t="n">
        <f aca="false">IFERROR(E41/E40-1,"")</f>
        <v>-0.113081916623806</v>
      </c>
      <c r="G41" s="6"/>
    </row>
    <row r="42" customFormat="false" ht="15" hidden="false" customHeight="true" outlineLevel="0" collapsed="false">
      <c r="B42" s="43" t="n">
        <v>46113</v>
      </c>
      <c r="C42" s="44" t="n">
        <v>194.87</v>
      </c>
      <c r="D42" s="9" t="n">
        <f aca="false">IFERROR(C42/C41-1,"")</f>
        <v>0.179243570347958</v>
      </c>
      <c r="E42" s="45" t="n">
        <v>23997.55</v>
      </c>
      <c r="F42" s="8" t="n">
        <f aca="false">IFERROR(E42/E41-1,"")</f>
        <v>0.0746101901358625</v>
      </c>
      <c r="G42" s="6"/>
    </row>
    <row r="43" customFormat="false" ht="15" hidden="false" customHeight="true" outlineLevel="0" collapsed="false">
      <c r="B43" s="43" t="n">
        <v>46143</v>
      </c>
      <c r="C43" s="44" t="n">
        <v>215.49</v>
      </c>
      <c r="D43" s="9" t="n">
        <f aca="false">IFERROR(C43/C42-1,"")</f>
        <v>0.105814132498589</v>
      </c>
      <c r="E43" s="45" t="n">
        <v>23547.75</v>
      </c>
      <c r="F43" s="8" t="n">
        <f aca="false">IFERROR(E43/E42-1,"")</f>
        <v>-0.0187435800737992</v>
      </c>
      <c r="G43" s="6"/>
    </row>
    <row r="44" customFormat="false" ht="15" hidden="false" customHeight="true" outlineLevel="0" collapsed="false">
      <c r="B44" s="46" t="n">
        <v>46174</v>
      </c>
      <c r="C44" s="44" t="n">
        <v>204.06</v>
      </c>
      <c r="D44" s="8" t="n">
        <f aca="false">IFERROR(C44/C43-1,"")</f>
        <v>-0.0530419044967284</v>
      </c>
      <c r="E44" s="44" t="n">
        <v>23865.75</v>
      </c>
      <c r="F44" s="8" t="n">
        <f aca="false">IFERROR(E44/E43-1,"")</f>
        <v>0.0135044749498359</v>
      </c>
    </row>
    <row r="45" customFormat="false" ht="15" hidden="false" customHeight="true" outlineLevel="0" collapsed="false">
      <c r="B45" s="46" t="n">
        <v>46204</v>
      </c>
      <c r="C45" s="44" t="n">
        <v>196.74</v>
      </c>
      <c r="D45" s="8" t="n">
        <f aca="false">IFERROR(C45/C44-1,"")</f>
        <v>-0.0358718024110556</v>
      </c>
      <c r="E45" s="44" t="n">
        <v>24383.6</v>
      </c>
      <c r="F45" s="8" t="n">
        <f aca="false">IFERROR(E45/E44-1,"")</f>
        <v>0.0216984590888616</v>
      </c>
    </row>
    <row r="46" customFormat="false" ht="15" hidden="false" customHeight="true" outlineLevel="0" collapsed="false">
      <c r="B46" s="46" t="n">
        <v>46235</v>
      </c>
      <c r="C46" s="44" t="n">
        <v>192.81</v>
      </c>
      <c r="D46" s="8" t="n">
        <f aca="false">IFERROR(C46/C45-1,"")</f>
        <v>-0.0199756023177798</v>
      </c>
      <c r="E46" s="44" t="n">
        <v>24080.4</v>
      </c>
      <c r="F46" s="8" t="n">
        <f aca="false">IFERROR(E46/E45-1,"")</f>
        <v>-0.0124345871815481</v>
      </c>
    </row>
    <row r="47" customFormat="false" ht="15" hidden="false" customHeight="true" outlineLevel="0" collapsed="false">
      <c r="B47" s="46" t="n">
        <v>46266</v>
      </c>
      <c r="C47" s="44" t="n">
        <v>179.41</v>
      </c>
      <c r="D47" s="8" t="n">
        <f aca="false">IFERROR(C47/C46-1,"")</f>
        <v>-0.0694984699963696</v>
      </c>
      <c r="E47" s="44" t="n">
        <v>23063.1</v>
      </c>
      <c r="F47" s="8" t="n">
        <f aca="false">IFERROR(E47/E46-1,"")</f>
        <v>-0.0422459759804655</v>
      </c>
    </row>
  </sheetData>
  <mergeCells count="3">
    <mergeCell ref="B2:M2"/>
    <mergeCell ref="B6:M6"/>
    <mergeCell ref="B18:M20"/>
  </mergeCells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A5A5"/>
    <pageSetUpPr fitToPage="true"/>
  </sheetPr>
  <dimension ref="B2:F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3" min="2" style="1" width="18"/>
    <col collapsed="false" customWidth="true" hidden="false" outlineLevel="0" max="4" min="4" style="1" width="5"/>
    <col collapsed="false" customWidth="true" hidden="false" outlineLevel="0" max="5" min="5" style="1" width="22"/>
    <col collapsed="false" customWidth="true" hidden="false" outlineLevel="0" max="6" min="6" style="1" width="18"/>
  </cols>
  <sheetData>
    <row r="2" customFormat="false" ht="24" hidden="false" customHeight="true" outlineLevel="0" collapsed="false">
      <c r="B2" s="2" t="s">
        <v>220</v>
      </c>
      <c r="C2" s="2"/>
      <c r="D2" s="2"/>
      <c r="E2" s="2"/>
      <c r="F2" s="2"/>
    </row>
    <row r="4" customFormat="false" ht="15" hidden="false" customHeight="true" outlineLevel="0" collapsed="false">
      <c r="B4" s="3" t="s">
        <v>221</v>
      </c>
    </row>
    <row r="7" customFormat="false" ht="15" hidden="false" customHeight="true" outlineLevel="0" collapsed="false">
      <c r="B7" s="4" t="s">
        <v>222</v>
      </c>
      <c r="C7" s="4"/>
      <c r="D7" s="4"/>
      <c r="E7" s="4"/>
      <c r="F7" s="4"/>
    </row>
    <row r="9" customFormat="false" ht="15" hidden="false" customHeight="true" outlineLevel="0" collapsed="false">
      <c r="B9" s="5" t="s">
        <v>223</v>
      </c>
      <c r="C9" s="5" t="s">
        <v>224</v>
      </c>
      <c r="E9" s="6" t="s">
        <v>225</v>
      </c>
      <c r="F9" s="9" t="n">
        <f aca="false">AVERAGE(C10:C34)</f>
        <v>0.10832</v>
      </c>
    </row>
    <row r="10" customFormat="false" ht="15" hidden="false" customHeight="true" outlineLevel="0" collapsed="false">
      <c r="B10" s="6" t="n">
        <v>2000</v>
      </c>
      <c r="C10" s="9" t="n">
        <v>-0.1465</v>
      </c>
      <c r="E10" s="6" t="s">
        <v>226</v>
      </c>
      <c r="F10" s="9" t="n">
        <v>0.0129</v>
      </c>
    </row>
    <row r="11" customFormat="false" ht="15" hidden="false" customHeight="true" outlineLevel="0" collapsed="false">
      <c r="B11" s="6" t="n">
        <v>2001</v>
      </c>
      <c r="C11" s="9" t="n">
        <v>-0.1618</v>
      </c>
      <c r="E11" s="6" t="s">
        <v>227</v>
      </c>
      <c r="F11" s="9" t="n">
        <f aca="false">SUM(F9:F10)</f>
        <v>0.12122</v>
      </c>
    </row>
    <row r="12" customFormat="false" ht="15" hidden="false" customHeight="true" outlineLevel="0" collapsed="false">
      <c r="B12" s="6" t="n">
        <v>2002</v>
      </c>
      <c r="C12" s="9" t="n">
        <v>0.0325</v>
      </c>
    </row>
    <row r="13" customFormat="false" ht="15" hidden="false" customHeight="true" outlineLevel="0" collapsed="false">
      <c r="B13" s="6" t="n">
        <v>2003</v>
      </c>
      <c r="C13" s="9" t="n">
        <v>0.719</v>
      </c>
    </row>
    <row r="14" customFormat="false" ht="15" hidden="false" customHeight="true" outlineLevel="0" collapsed="false">
      <c r="B14" s="6" t="n">
        <v>2004</v>
      </c>
      <c r="C14" s="9" t="n">
        <v>0.1088</v>
      </c>
    </row>
    <row r="15" customFormat="false" ht="15" hidden="false" customHeight="true" outlineLevel="0" collapsed="false">
      <c r="B15" s="6" t="n">
        <v>2005</v>
      </c>
      <c r="C15" s="9" t="n">
        <v>-0.081</v>
      </c>
    </row>
    <row r="16" customFormat="false" ht="15" hidden="false" customHeight="true" outlineLevel="0" collapsed="false">
      <c r="B16" s="6" t="n">
        <v>2006</v>
      </c>
      <c r="C16" s="9" t="n">
        <v>-0.246</v>
      </c>
    </row>
    <row r="17" customFormat="false" ht="15" hidden="false" customHeight="true" outlineLevel="0" collapsed="false">
      <c r="B17" s="6" t="n">
        <v>2007</v>
      </c>
      <c r="C17" s="9" t="n">
        <v>-0.056</v>
      </c>
    </row>
    <row r="18" customFormat="false" ht="15" hidden="false" customHeight="true" outlineLevel="0" collapsed="false">
      <c r="B18" s="6" t="n">
        <v>2008</v>
      </c>
      <c r="C18" s="9" t="n">
        <v>0.178</v>
      </c>
    </row>
    <row r="19" customFormat="false" ht="15" hidden="false" customHeight="true" outlineLevel="0" collapsed="false">
      <c r="B19" s="6" t="n">
        <v>2009</v>
      </c>
      <c r="C19" s="9" t="n">
        <v>0.166</v>
      </c>
    </row>
    <row r="20" customFormat="false" ht="15" hidden="false" customHeight="true" outlineLevel="0" collapsed="false">
      <c r="B20" s="6" t="n">
        <v>2010</v>
      </c>
      <c r="C20" s="9" t="n">
        <v>0.154</v>
      </c>
    </row>
    <row r="21" customFormat="false" ht="15" hidden="false" customHeight="true" outlineLevel="0" collapsed="false">
      <c r="B21" s="6" t="n">
        <v>2011</v>
      </c>
      <c r="C21" s="9" t="n">
        <v>0.012</v>
      </c>
    </row>
    <row r="22" customFormat="false" ht="15" hidden="false" customHeight="true" outlineLevel="0" collapsed="false">
      <c r="B22" s="6" t="n">
        <v>2012</v>
      </c>
      <c r="C22" s="9" t="n">
        <v>0.288</v>
      </c>
    </row>
    <row r="23" customFormat="false" ht="15" hidden="false" customHeight="true" outlineLevel="0" collapsed="false">
      <c r="B23" s="6" t="n">
        <v>2013</v>
      </c>
      <c r="C23" s="9" t="n">
        <v>0.149</v>
      </c>
    </row>
    <row r="24" customFormat="false" ht="15" hidden="false" customHeight="true" outlineLevel="0" collapsed="false">
      <c r="B24" s="6" t="n">
        <v>2014</v>
      </c>
      <c r="C24" s="9" t="n">
        <v>0.101</v>
      </c>
    </row>
    <row r="25" customFormat="false" ht="15" hidden="false" customHeight="true" outlineLevel="0" collapsed="false">
      <c r="B25" s="6" t="n">
        <v>2015</v>
      </c>
      <c r="C25" s="9" t="n">
        <v>0.033</v>
      </c>
    </row>
    <row r="26" customFormat="false" ht="15" hidden="false" customHeight="true" outlineLevel="0" collapsed="false">
      <c r="B26" s="6" t="n">
        <v>2016</v>
      </c>
      <c r="C26" s="9" t="n">
        <v>0.076</v>
      </c>
    </row>
    <row r="27" customFormat="false" ht="15" hidden="false" customHeight="true" outlineLevel="0" collapsed="false">
      <c r="B27" s="6" t="n">
        <v>2017</v>
      </c>
      <c r="C27" s="9" t="n">
        <v>0.124</v>
      </c>
    </row>
    <row r="28" customFormat="false" ht="15" hidden="false" customHeight="true" outlineLevel="0" collapsed="false">
      <c r="B28" s="6" t="n">
        <v>2018</v>
      </c>
      <c r="C28" s="9" t="n">
        <v>0.282</v>
      </c>
    </row>
    <row r="29" customFormat="false" ht="15" hidden="false" customHeight="true" outlineLevel="0" collapsed="false">
      <c r="B29" s="6" t="n">
        <v>2019</v>
      </c>
      <c r="C29" s="9" t="n">
        <v>0.141</v>
      </c>
    </row>
    <row r="30" customFormat="false" ht="15" hidden="false" customHeight="true" outlineLevel="0" collapsed="false">
      <c r="B30" s="6" t="n">
        <v>2020</v>
      </c>
      <c r="C30" s="9" t="n">
        <v>0.238</v>
      </c>
    </row>
    <row r="31" customFormat="false" ht="15" hidden="false" customHeight="true" outlineLevel="0" collapsed="false">
      <c r="B31" s="6" t="n">
        <v>2021</v>
      </c>
      <c r="C31" s="9" t="n">
        <v>0.16</v>
      </c>
    </row>
    <row r="32" customFormat="false" ht="15" hidden="false" customHeight="true" outlineLevel="0" collapsed="false">
      <c r="B32" s="6" t="n">
        <v>2022</v>
      </c>
      <c r="C32" s="9" t="n">
        <v>0.101</v>
      </c>
    </row>
    <row r="33" customFormat="false" ht="15" hidden="false" customHeight="true" outlineLevel="0" collapsed="false">
      <c r="B33" s="6" t="n">
        <v>2023</v>
      </c>
      <c r="C33" s="9" t="n">
        <v>0.241</v>
      </c>
    </row>
    <row r="34" customFormat="false" ht="15" hidden="false" customHeight="true" outlineLevel="0" collapsed="false">
      <c r="B34" s="6" t="n">
        <v>2024</v>
      </c>
      <c r="C34" s="9" t="n">
        <v>0.095</v>
      </c>
    </row>
  </sheetData>
  <mergeCells count="2">
    <mergeCell ref="B2:F2"/>
    <mergeCell ref="B7:F7"/>
  </mergeCells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true"/>
  </sheetPr>
  <dimension ref="B2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3" min="3" style="1" width="95"/>
    <col collapsed="false" customWidth="true" hidden="false" outlineLevel="0" max="4" min="4" style="1" width="32"/>
  </cols>
  <sheetData>
    <row r="2" customFormat="false" ht="24" hidden="false" customHeight="true" outlineLevel="0" collapsed="false">
      <c r="B2" s="2" t="s">
        <v>228</v>
      </c>
      <c r="C2" s="2"/>
      <c r="D2" s="2"/>
    </row>
    <row r="5" customFormat="false" ht="15" hidden="false" customHeight="true" outlineLevel="0" collapsed="false">
      <c r="B5" s="5" t="s">
        <v>229</v>
      </c>
      <c r="C5" s="5" t="s">
        <v>230</v>
      </c>
      <c r="D5" s="5" t="s">
        <v>231</v>
      </c>
    </row>
    <row r="6" customFormat="false" ht="15" hidden="false" customHeight="true" outlineLevel="0" collapsed="false">
      <c r="B6" s="6" t="s">
        <v>232</v>
      </c>
      <c r="C6" s="47" t="s">
        <v>233</v>
      </c>
      <c r="D6" s="6" t="s">
        <v>234</v>
      </c>
    </row>
    <row r="7" customFormat="false" ht="15" hidden="false" customHeight="true" outlineLevel="0" collapsed="false">
      <c r="B7" s="6" t="s">
        <v>235</v>
      </c>
      <c r="C7" s="47" t="s">
        <v>236</v>
      </c>
      <c r="D7" s="6" t="s">
        <v>237</v>
      </c>
    </row>
    <row r="8" customFormat="false" ht="15" hidden="false" customHeight="true" outlineLevel="0" collapsed="false">
      <c r="B8" s="6" t="s">
        <v>238</v>
      </c>
      <c r="C8" s="47" t="s">
        <v>239</v>
      </c>
      <c r="D8" s="6" t="s">
        <v>240</v>
      </c>
    </row>
    <row r="9" customFormat="false" ht="15" hidden="false" customHeight="true" outlineLevel="0" collapsed="false">
      <c r="B9" s="6" t="s">
        <v>241</v>
      </c>
      <c r="C9" s="47" t="s">
        <v>242</v>
      </c>
      <c r="D9" s="6" t="s">
        <v>243</v>
      </c>
    </row>
    <row r="10" customFormat="false" ht="15" hidden="false" customHeight="true" outlineLevel="0" collapsed="false">
      <c r="B10" s="6" t="s">
        <v>244</v>
      </c>
      <c r="C10" s="47" t="s">
        <v>245</v>
      </c>
      <c r="D10" s="6" t="s">
        <v>246</v>
      </c>
    </row>
    <row r="11" customFormat="false" ht="15" hidden="false" customHeight="true" outlineLevel="0" collapsed="false">
      <c r="B11" s="6" t="s">
        <v>247</v>
      </c>
      <c r="C11" s="47" t="s">
        <v>248</v>
      </c>
      <c r="D11" s="6" t="s">
        <v>249</v>
      </c>
    </row>
    <row r="12" customFormat="false" ht="15" hidden="false" customHeight="true" outlineLevel="0" collapsed="false">
      <c r="B12" s="6" t="s">
        <v>250</v>
      </c>
      <c r="C12" s="47" t="s">
        <v>251</v>
      </c>
      <c r="D12" s="6" t="s">
        <v>252</v>
      </c>
    </row>
    <row r="13" customFormat="false" ht="15" hidden="false" customHeight="true" outlineLevel="0" collapsed="false">
      <c r="B13" s="6" t="s">
        <v>253</v>
      </c>
      <c r="C13" s="47" t="s">
        <v>254</v>
      </c>
      <c r="D13" s="6" t="s">
        <v>255</v>
      </c>
    </row>
    <row r="14" customFormat="false" ht="14.25" hidden="false" customHeight="true" outlineLevel="0" collapsed="false">
      <c r="B14" s="6" t="s">
        <v>256</v>
      </c>
      <c r="C14" s="47" t="s">
        <v>257</v>
      </c>
      <c r="D14" s="6" t="s">
        <v>258</v>
      </c>
    </row>
    <row r="15" customFormat="false" ht="26.25" hidden="false" customHeight="true" outlineLevel="0" collapsed="false">
      <c r="B15" s="6" t="s">
        <v>259</v>
      </c>
      <c r="C15" s="47" t="s">
        <v>260</v>
      </c>
      <c r="D15" s="6" t="s">
        <v>261</v>
      </c>
    </row>
    <row r="16" customFormat="false" ht="15" hidden="false" customHeight="true" outlineLevel="0" collapsed="false">
      <c r="B16" s="6" t="s">
        <v>262</v>
      </c>
    </row>
    <row r="17" customFormat="false" ht="15" hidden="false" customHeight="true" outlineLevel="0" collapsed="false">
      <c r="B17" s="48" t="s">
        <v>263</v>
      </c>
      <c r="C17" s="48"/>
      <c r="D17" s="48"/>
    </row>
    <row r="18" customFormat="false" ht="15" hidden="false" customHeight="true" outlineLevel="0" collapsed="false">
      <c r="B18" s="48"/>
      <c r="C18" s="48"/>
      <c r="D18" s="48"/>
    </row>
    <row r="19" customFormat="false" ht="15" hidden="false" customHeight="true" outlineLevel="0" collapsed="false">
      <c r="B19" s="48"/>
      <c r="C19" s="48"/>
      <c r="D19" s="48"/>
    </row>
    <row r="20" customFormat="false" ht="15" hidden="false" customHeight="true" outlineLevel="0" collapsed="false">
      <c r="B20" s="48"/>
      <c r="C20" s="48"/>
      <c r="D20" s="48"/>
    </row>
    <row r="21" customFormat="false" ht="15" hidden="false" customHeight="true" outlineLevel="0" collapsed="false">
      <c r="B21" s="48"/>
      <c r="C21" s="48"/>
      <c r="D21" s="48"/>
    </row>
    <row r="22" customFormat="false" ht="15" hidden="false" customHeight="true" outlineLevel="0" collapsed="false">
      <c r="B22" s="48"/>
      <c r="C22" s="48"/>
      <c r="D22" s="48"/>
    </row>
    <row r="23" customFormat="false" ht="15" hidden="false" customHeight="true" outlineLevel="0" collapsed="false">
      <c r="B23" s="48"/>
      <c r="C23" s="48"/>
      <c r="D23" s="48"/>
    </row>
  </sheetData>
  <mergeCells count="2">
    <mergeCell ref="B2:D2"/>
    <mergeCell ref="B17:D23"/>
  </mergeCells>
  <printOptions headings="false" gridLines="false" gridLinesSet="true" horizontalCentered="false" verticalCentered="false"/>
  <pageMargins left="0.25" right="0.2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2026-09-27T21:16:53Z</dcterms:created>
  <dc:creator>openpyxl</dc:creator>
  <dc:description/>
  <dc:language>en-US</dc:language>
  <cp:lastModifiedBy/>
  <dcterms:modified xsi:type="dcterms:W3CDTF">2026-09-28T07:35:40Z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